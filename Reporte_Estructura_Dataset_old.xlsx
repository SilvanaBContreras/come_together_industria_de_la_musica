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lvana\Documents\Maestria_Exactas\taller_tesis_1\music_industry_social_live_code\"/>
    </mc:Choice>
  </mc:AlternateContent>
  <xr:revisionPtr revIDLastSave="0" documentId="8_{85DFFE93-1C72-4EF2-9EE1-274A68FEFC0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eatures" sheetId="1" r:id="rId1"/>
  </sheets>
  <calcPr calcId="19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2" i="1"/>
</calcChain>
</file>

<file path=xl/sharedStrings.xml><?xml version="1.0" encoding="utf-8"?>
<sst xmlns="http://schemas.openxmlformats.org/spreadsheetml/2006/main" count="817" uniqueCount="254">
  <si>
    <t>Grupo</t>
  </si>
  <si>
    <t>Feature</t>
  </si>
  <si>
    <t>Tipo</t>
  </si>
  <si>
    <t>Cant_NA</t>
  </si>
  <si>
    <t>%_NA</t>
  </si>
  <si>
    <t>Cant_0</t>
  </si>
  <si>
    <t>%_0</t>
  </si>
  <si>
    <t>Mínimo</t>
  </si>
  <si>
    <t>Máximo</t>
  </si>
  <si>
    <t>Media</t>
  </si>
  <si>
    <t>Niveles_Cat</t>
  </si>
  <si>
    <t>SI (True)</t>
  </si>
  <si>
    <t>NO (False)</t>
  </si>
  <si>
    <t>concerts</t>
  </si>
  <si>
    <t>metadata</t>
  </si>
  <si>
    <t>playlists</t>
  </si>
  <si>
    <t>redes_sociales</t>
  </si>
  <si>
    <t>streaming</t>
  </si>
  <si>
    <t>youtube</t>
  </si>
  <si>
    <t>avg_high_price_2024</t>
  </si>
  <si>
    <t>avg_high_price_2025</t>
  </si>
  <si>
    <t>avg_low_price_2024</t>
  </si>
  <si>
    <t>avg_low_price_2025</t>
  </si>
  <si>
    <t>avg_venue_capacity_2024</t>
  </si>
  <si>
    <t>avg_venue_capacity_2025</t>
  </si>
  <si>
    <t>avg_venue_capacity_total</t>
  </si>
  <si>
    <t>has_live_data</t>
  </si>
  <si>
    <t>main_currency_2024</t>
  </si>
  <si>
    <t>main_currency_2025</t>
  </si>
  <si>
    <t>n_cities_2024</t>
  </si>
  <si>
    <t>n_cities_2025</t>
  </si>
  <si>
    <t>n_cities_total</t>
  </si>
  <si>
    <t>n_countries_2024</t>
  </si>
  <si>
    <t>n_countries_2025</t>
  </si>
  <si>
    <t>n_countries_total</t>
  </si>
  <si>
    <t>n_currencies_2024</t>
  </si>
  <si>
    <t>n_currencies_2025</t>
  </si>
  <si>
    <t>n_shows_2024</t>
  </si>
  <si>
    <t>n_shows_2025</t>
  </si>
  <si>
    <t>n_shows_2026</t>
  </si>
  <si>
    <t>n_shows_total</t>
  </si>
  <si>
    <t>n_shows_with_capacity_2024</t>
  </si>
  <si>
    <t>n_shows_with_capacity_2025</t>
  </si>
  <si>
    <t>n_shows_with_capacity_total</t>
  </si>
  <si>
    <t>off_cycle</t>
  </si>
  <si>
    <t>shows_2026</t>
  </si>
  <si>
    <t>shows_per_country_2024</t>
  </si>
  <si>
    <t>shows_per_country_2025</t>
  </si>
  <si>
    <t>shows_per_country_total</t>
  </si>
  <si>
    <t>total_capacity_2024</t>
  </si>
  <si>
    <t>total_capacity_2025</t>
  </si>
  <si>
    <t>total_capacity_total</t>
  </si>
  <si>
    <t>band</t>
  </si>
  <si>
    <t>career_stage</t>
  </si>
  <si>
    <t>career_stage_score</t>
  </si>
  <si>
    <t>career_trend</t>
  </si>
  <si>
    <t>career_trend_score</t>
  </si>
  <si>
    <t>chartmetric_id</t>
  </si>
  <si>
    <t>cm_artist_rank</t>
  </si>
  <si>
    <t>cm_artist_score</t>
  </si>
  <si>
    <t>country</t>
  </si>
  <si>
    <t>country_short</t>
  </si>
  <si>
    <t>gender_title</t>
  </si>
  <si>
    <t>genre_short</t>
  </si>
  <si>
    <t>hometown_city</t>
  </si>
  <si>
    <t>major_record_label</t>
  </si>
  <si>
    <t>muerto_disuelto</t>
  </si>
  <si>
    <t>primary_genre</t>
  </si>
  <si>
    <t>pronoun_short</t>
  </si>
  <si>
    <t>pronoun_title</t>
  </si>
  <si>
    <t>record_label</t>
  </si>
  <si>
    <t>de_editorial_playlist_total_reach</t>
  </si>
  <si>
    <t>de_playlist_total_reach</t>
  </si>
  <si>
    <t>num_am_editorial_playlists</t>
  </si>
  <si>
    <t>num_am_playlists</t>
  </si>
  <si>
    <t>num_az_editorial_playlists</t>
  </si>
  <si>
    <t>num_az_playlists</t>
  </si>
  <si>
    <t>num_de_editorial_playlists</t>
  </si>
  <si>
    <t>num_de_playlists</t>
  </si>
  <si>
    <t>num_sp_editorial_playlists</t>
  </si>
  <si>
    <t>num_sp_playlists</t>
  </si>
  <si>
    <t>num_yt_editorial_playlists</t>
  </si>
  <si>
    <t>num_yt_playlists</t>
  </si>
  <si>
    <t>sp_editorial_playlist_total_reach</t>
  </si>
  <si>
    <t>yt_playlist_total_reach</t>
  </si>
  <si>
    <t>ins_followers</t>
  </si>
  <si>
    <t>tiktok_followers</t>
  </si>
  <si>
    <t>tiktok_likes</t>
  </si>
  <si>
    <t>tiktok_top_video_comments</t>
  </si>
  <si>
    <t>tiktok_top_video_views</t>
  </si>
  <si>
    <t>tiktok_track_posts</t>
  </si>
  <si>
    <t>twitter_followers</t>
  </si>
  <si>
    <t>deezer_fans</t>
  </si>
  <si>
    <t>pandora_lifetime_stations_added</t>
  </si>
  <si>
    <t>pandora_lifetime_streams</t>
  </si>
  <si>
    <t>shazam_count</t>
  </si>
  <si>
    <t>sp_followers</t>
  </si>
  <si>
    <t>sp_monthly_listeners</t>
  </si>
  <si>
    <t>sp_playlist_total_reach</t>
  </si>
  <si>
    <t>sp_popularity</t>
  </si>
  <si>
    <t>ycs_subscribers</t>
  </si>
  <si>
    <t>ycs_views</t>
  </si>
  <si>
    <t>youtube_daily_video_views</t>
  </si>
  <si>
    <t>youtube_monthly_video_views</t>
  </si>
  <si>
    <t>float64</t>
  </si>
  <si>
    <t>bool</t>
  </si>
  <si>
    <t>category</t>
  </si>
  <si>
    <t>Booleana (0/1)</t>
  </si>
  <si>
    <t>int64</t>
  </si>
  <si>
    <t>71.46%</t>
  </si>
  <si>
    <t>65.41%</t>
  </si>
  <si>
    <t>57.21%</t>
  </si>
  <si>
    <t>50.37%</t>
  </si>
  <si>
    <t>44.71%</t>
  </si>
  <si>
    <t>0.00%</t>
  </si>
  <si>
    <t>67.61%</t>
  </si>
  <si>
    <t>62.50%</t>
  </si>
  <si>
    <t>29.81%</t>
  </si>
  <si>
    <t>96.81%</t>
  </si>
  <si>
    <t>54.51%</t>
  </si>
  <si>
    <t>48.21%</t>
  </si>
  <si>
    <t>42.50%</t>
  </si>
  <si>
    <t>0.96%</t>
  </si>
  <si>
    <t>65.16%</t>
  </si>
  <si>
    <t>37.26%</t>
  </si>
  <si>
    <t>7.49%</t>
  </si>
  <si>
    <t>7.76%</t>
  </si>
  <si>
    <t>3.23%</t>
  </si>
  <si>
    <t>11.41%</t>
  </si>
  <si>
    <t>0.16%</t>
  </si>
  <si>
    <t>6.16%</t>
  </si>
  <si>
    <t>7.84%</t>
  </si>
  <si>
    <t>8.66%</t>
  </si>
  <si>
    <t>31.41%</t>
  </si>
  <si>
    <t>0.94%</t>
  </si>
  <si>
    <t>25.33%</t>
  </si>
  <si>
    <t>2.83%</t>
  </si>
  <si>
    <t>9.57%</t>
  </si>
  <si>
    <t>6.71%</t>
  </si>
  <si>
    <t>0.24%</t>
  </si>
  <si>
    <t>0.31%</t>
  </si>
  <si>
    <t>0.11%</t>
  </si>
  <si>
    <t>8.84%</t>
  </si>
  <si>
    <t>38.80%</t>
  </si>
  <si>
    <t>-</t>
  </si>
  <si>
    <t>0.01%</t>
  </si>
  <si>
    <t>38.91%</t>
  </si>
  <si>
    <t>24.70%</t>
  </si>
  <si>
    <t>18.40%</t>
  </si>
  <si>
    <t>12.69%</t>
  </si>
  <si>
    <t>37.80%</t>
  </si>
  <si>
    <t>32.69%</t>
  </si>
  <si>
    <t>24.30%</t>
  </si>
  <si>
    <t>17.63%</t>
  </si>
  <si>
    <t>12.29%</t>
  </si>
  <si>
    <t>27.40%</t>
  </si>
  <si>
    <t>20.56%</t>
  </si>
  <si>
    <t>14.90%</t>
  </si>
  <si>
    <t>67.00%</t>
  </si>
  <si>
    <t>71.14%</t>
  </si>
  <si>
    <t>5.31%</t>
  </si>
  <si>
    <t>1.17%</t>
  </si>
  <si>
    <t>68.07%</t>
  </si>
  <si>
    <t>90.90%</t>
  </si>
  <si>
    <t>9.26%</t>
  </si>
  <si>
    <t>0.06%</t>
  </si>
  <si>
    <t>1.57%</t>
  </si>
  <si>
    <t>0.29%</t>
  </si>
  <si>
    <t>3.11%</t>
  </si>
  <si>
    <t>10.04%</t>
  </si>
  <si>
    <t>3.49%</t>
  </si>
  <si>
    <t>1.01%</t>
  </si>
  <si>
    <t>0.04%</t>
  </si>
  <si>
    <t>0.70%</t>
  </si>
  <si>
    <t>0.50%</t>
  </si>
  <si>
    <t>0.90%</t>
  </si>
  <si>
    <t>1450.44</t>
  </si>
  <si>
    <t>732.01</t>
  </si>
  <si>
    <t>105.86</t>
  </si>
  <si>
    <t>144.13</t>
  </si>
  <si>
    <t>7614.69</t>
  </si>
  <si>
    <t>7013.93</t>
  </si>
  <si>
    <t>7062.28</t>
  </si>
  <si>
    <t>7.41</t>
  </si>
  <si>
    <t>12.00</t>
  </si>
  <si>
    <t>18.09</t>
  </si>
  <si>
    <t>1.69</t>
  </si>
  <si>
    <t>2.61</t>
  </si>
  <si>
    <t>3.52</t>
  </si>
  <si>
    <t>0.74</t>
  </si>
  <si>
    <t>0.95</t>
  </si>
  <si>
    <t>9.13</t>
  </si>
  <si>
    <t>15.17</t>
  </si>
  <si>
    <t>8.70</t>
  </si>
  <si>
    <t>24.30</t>
  </si>
  <si>
    <t>7.76</t>
  </si>
  <si>
    <t>12.55</t>
  </si>
  <si>
    <t>20.32</t>
  </si>
  <si>
    <t>6.94</t>
  </si>
  <si>
    <t>8.24</t>
  </si>
  <si>
    <t>10.06</t>
  </si>
  <si>
    <t>108197.00</t>
  </si>
  <si>
    <t>133180.68</t>
  </si>
  <si>
    <t>203286.75</t>
  </si>
  <si>
    <t>35.82</t>
  </si>
  <si>
    <t>48.64</t>
  </si>
  <si>
    <t>1078368.36</t>
  </si>
  <si>
    <t>7308.81</t>
  </si>
  <si>
    <t>85.64</t>
  </si>
  <si>
    <t>1081142.28</t>
  </si>
  <si>
    <t>1795174.67</t>
  </si>
  <si>
    <t>85.18</t>
  </si>
  <si>
    <t>214.00</t>
  </si>
  <si>
    <t>91.87</t>
  </si>
  <si>
    <t>95.89</t>
  </si>
  <si>
    <t>14.87</t>
  </si>
  <si>
    <t>100.44</t>
  </si>
  <si>
    <t>103.73</t>
  </si>
  <si>
    <t>192756.20</t>
  </si>
  <si>
    <t>10.25</t>
  </si>
  <si>
    <t>58.82</t>
  </si>
  <si>
    <t>15862733.71</t>
  </si>
  <si>
    <t>382175962.73</t>
  </si>
  <si>
    <t>3633190.34</t>
  </si>
  <si>
    <t>2236003.71</t>
  </si>
  <si>
    <t>52131830.85</t>
  </si>
  <si>
    <t>2705278.70</t>
  </si>
  <si>
    <t>2895076886.46</t>
  </si>
  <si>
    <t>2141750.00</t>
  </si>
  <si>
    <t>1058672.93</t>
  </si>
  <si>
    <t>228670.42</t>
  </si>
  <si>
    <t>1269828.43</t>
  </si>
  <si>
    <t>514904670.59</t>
  </si>
  <si>
    <t>11479279.47</t>
  </si>
  <si>
    <t>2627370.03</t>
  </si>
  <si>
    <t>6011495.49</t>
  </si>
  <si>
    <t>54687523.16</t>
  </si>
  <si>
    <t>60.38</t>
  </si>
  <si>
    <t>2155530.11</t>
  </si>
  <si>
    <t>1390177771.08</t>
  </si>
  <si>
    <t>421237.67</t>
  </si>
  <si>
    <t>12576535.32</t>
  </si>
  <si>
    <t>4276 (61.09%)</t>
  </si>
  <si>
    <t>223 (3.19%)</t>
  </si>
  <si>
    <t>2020 (28.86%)</t>
  </si>
  <si>
    <t>1711 (24.44%)</t>
  </si>
  <si>
    <t>637 (9.10%)</t>
  </si>
  <si>
    <t>2724 (38.91%)</t>
  </si>
  <si>
    <t>4690 (67.00%)</t>
  </si>
  <si>
    <t>6777 (96.81%)</t>
  </si>
  <si>
    <t>4980 (71.14%)</t>
  </si>
  <si>
    <t>4765 (68.07%)</t>
  </si>
  <si>
    <t>6363 (90.90%)</t>
  </si>
  <si>
    <t>not 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</si>
</sst>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F75B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/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6"/>
  <sheetViews>
    <sheetView tabSelected="1" topLeftCell="B32" workbookViewId="0">
      <selection activeCell="E31" sqref="E31"/>
    </sheetView>
  </sheetViews>
  <sheetFormatPr baseColWidth="10" defaultColWidth="8.7265625" defaultRowHeight="14.5" x14ac:dyDescent="0.35"/>
  <cols>
    <col min="1" max="1" width="14.6328125" customWidth="1"/>
    <col min="2" max="2" width="29" customWidth="1"/>
    <col min="3" max="3" width="14.453125" style="3" customWidth="1"/>
    <col min="4" max="4" width="10.26953125" style="3" customWidth="1"/>
    <col min="5" max="5" width="6.81640625" style="3" customWidth="1"/>
    <col min="6" max="6" width="8.6328125" style="3" customWidth="1"/>
    <col min="7" max="7" width="8.08984375" style="3" customWidth="1"/>
    <col min="8" max="8" width="8.1796875" style="3" customWidth="1"/>
    <col min="9" max="9" width="7.36328125" style="3" customWidth="1"/>
    <col min="10" max="10" width="16.54296875" style="3" customWidth="1"/>
    <col min="11" max="11" width="16.6328125" style="3" customWidth="1"/>
    <col min="12" max="12" width="10.1796875" style="3" customWidth="1"/>
    <col min="13" max="13" width="13" style="3" customWidth="1"/>
    <col min="14" max="14" width="13.26953125" style="3" customWidth="1"/>
  </cols>
  <sheetData>
    <row r="1" spans="1:14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253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spans="1:14" s="4" customFormat="1" x14ac:dyDescent="0.35">
      <c r="A2" s="4" t="s">
        <v>13</v>
      </c>
      <c r="B2" s="4" t="s">
        <v>19</v>
      </c>
      <c r="C2" s="5" t="s">
        <v>104</v>
      </c>
      <c r="D2" s="5">
        <v>5002</v>
      </c>
      <c r="E2" s="8">
        <f>7000-D2</f>
        <v>1998</v>
      </c>
      <c r="F2" s="5" t="s">
        <v>109</v>
      </c>
      <c r="G2" s="5">
        <v>0</v>
      </c>
      <c r="H2" s="5" t="s">
        <v>114</v>
      </c>
      <c r="I2" s="5">
        <v>9</v>
      </c>
      <c r="J2" s="5">
        <v>66275</v>
      </c>
      <c r="K2" s="5" t="s">
        <v>176</v>
      </c>
      <c r="L2" s="5" t="s">
        <v>144</v>
      </c>
      <c r="M2" s="5" t="s">
        <v>144</v>
      </c>
      <c r="N2" s="5" t="s">
        <v>144</v>
      </c>
    </row>
    <row r="3" spans="1:14" s="4" customFormat="1" x14ac:dyDescent="0.35">
      <c r="A3" s="4" t="s">
        <v>13</v>
      </c>
      <c r="B3" s="4" t="s">
        <v>20</v>
      </c>
      <c r="C3" s="5" t="s">
        <v>104</v>
      </c>
      <c r="D3" s="5">
        <v>4579</v>
      </c>
      <c r="E3" s="8">
        <f t="shared" ref="E3:E66" si="0">7000-D3</f>
        <v>2421</v>
      </c>
      <c r="F3" s="5" t="s">
        <v>110</v>
      </c>
      <c r="G3" s="5">
        <v>0</v>
      </c>
      <c r="H3" s="5" t="s">
        <v>114</v>
      </c>
      <c r="I3" s="5">
        <v>20</v>
      </c>
      <c r="J3" s="5">
        <v>50153</v>
      </c>
      <c r="K3" s="5" t="s">
        <v>177</v>
      </c>
      <c r="L3" s="5" t="s">
        <v>144</v>
      </c>
      <c r="M3" s="5" t="s">
        <v>144</v>
      </c>
      <c r="N3" s="5" t="s">
        <v>144</v>
      </c>
    </row>
    <row r="4" spans="1:14" s="4" customFormat="1" x14ac:dyDescent="0.35">
      <c r="A4" s="4" t="s">
        <v>13</v>
      </c>
      <c r="B4" s="4" t="s">
        <v>21</v>
      </c>
      <c r="C4" s="5" t="s">
        <v>104</v>
      </c>
      <c r="D4" s="5">
        <v>5002</v>
      </c>
      <c r="E4" s="8">
        <f t="shared" si="0"/>
        <v>1998</v>
      </c>
      <c r="F4" s="5" t="s">
        <v>109</v>
      </c>
      <c r="G4" s="5">
        <v>0</v>
      </c>
      <c r="H4" s="5" t="s">
        <v>114</v>
      </c>
      <c r="I4" s="5">
        <v>1</v>
      </c>
      <c r="J4" s="5">
        <v>1498</v>
      </c>
      <c r="K4" s="5" t="s">
        <v>178</v>
      </c>
      <c r="L4" s="5" t="s">
        <v>144</v>
      </c>
      <c r="M4" s="5" t="s">
        <v>144</v>
      </c>
      <c r="N4" s="5" t="s">
        <v>144</v>
      </c>
    </row>
    <row r="5" spans="1:14" s="4" customFormat="1" x14ac:dyDescent="0.35">
      <c r="A5" s="4" t="s">
        <v>13</v>
      </c>
      <c r="B5" s="4" t="s">
        <v>22</v>
      </c>
      <c r="C5" s="5" t="s">
        <v>104</v>
      </c>
      <c r="D5" s="5">
        <v>4579</v>
      </c>
      <c r="E5" s="8">
        <f t="shared" si="0"/>
        <v>2421</v>
      </c>
      <c r="F5" s="5" t="s">
        <v>110</v>
      </c>
      <c r="G5" s="5">
        <v>0</v>
      </c>
      <c r="H5" s="5" t="s">
        <v>114</v>
      </c>
      <c r="I5" s="5">
        <v>1</v>
      </c>
      <c r="J5" s="5">
        <v>22055</v>
      </c>
      <c r="K5" s="5" t="s">
        <v>179</v>
      </c>
      <c r="L5" s="5" t="s">
        <v>144</v>
      </c>
      <c r="M5" s="5" t="s">
        <v>144</v>
      </c>
      <c r="N5" s="5" t="s">
        <v>144</v>
      </c>
    </row>
    <row r="6" spans="1:14" s="4" customFormat="1" x14ac:dyDescent="0.35">
      <c r="A6" s="4" t="s">
        <v>13</v>
      </c>
      <c r="B6" s="4" t="s">
        <v>23</v>
      </c>
      <c r="C6" s="5" t="s">
        <v>104</v>
      </c>
      <c r="D6" s="5">
        <v>4005</v>
      </c>
      <c r="E6" s="8">
        <f t="shared" si="0"/>
        <v>2995</v>
      </c>
      <c r="F6" s="5" t="s">
        <v>111</v>
      </c>
      <c r="G6" s="5">
        <v>0</v>
      </c>
      <c r="H6" s="5" t="s">
        <v>114</v>
      </c>
      <c r="I6" s="5">
        <v>60</v>
      </c>
      <c r="J6" s="5">
        <v>90000</v>
      </c>
      <c r="K6" s="5" t="s">
        <v>180</v>
      </c>
      <c r="L6" s="5" t="s">
        <v>144</v>
      </c>
      <c r="M6" s="5" t="s">
        <v>144</v>
      </c>
      <c r="N6" s="5" t="s">
        <v>144</v>
      </c>
    </row>
    <row r="7" spans="1:14" s="4" customFormat="1" x14ac:dyDescent="0.35">
      <c r="A7" s="4" t="s">
        <v>13</v>
      </c>
      <c r="B7" s="4" t="s">
        <v>24</v>
      </c>
      <c r="C7" s="5" t="s">
        <v>104</v>
      </c>
      <c r="D7" s="5">
        <v>3526</v>
      </c>
      <c r="E7" s="8">
        <f t="shared" si="0"/>
        <v>3474</v>
      </c>
      <c r="F7" s="5" t="s">
        <v>112</v>
      </c>
      <c r="G7" s="5">
        <v>1</v>
      </c>
      <c r="H7" s="5" t="s">
        <v>145</v>
      </c>
      <c r="I7" s="5">
        <v>0</v>
      </c>
      <c r="J7" s="5">
        <v>250000</v>
      </c>
      <c r="K7" s="5" t="s">
        <v>181</v>
      </c>
      <c r="L7" s="5" t="s">
        <v>144</v>
      </c>
      <c r="M7" s="5" t="s">
        <v>144</v>
      </c>
      <c r="N7" s="5" t="s">
        <v>144</v>
      </c>
    </row>
    <row r="8" spans="1:14" s="4" customFormat="1" x14ac:dyDescent="0.35">
      <c r="A8" s="4" t="s">
        <v>13</v>
      </c>
      <c r="B8" s="4" t="s">
        <v>25</v>
      </c>
      <c r="C8" s="5" t="s">
        <v>104</v>
      </c>
      <c r="D8" s="5">
        <v>3130</v>
      </c>
      <c r="E8" s="8">
        <f t="shared" si="0"/>
        <v>3870</v>
      </c>
      <c r="F8" s="5" t="s">
        <v>113</v>
      </c>
      <c r="G8" s="5">
        <v>0</v>
      </c>
      <c r="H8" s="5" t="s">
        <v>114</v>
      </c>
      <c r="I8" s="5">
        <v>75</v>
      </c>
      <c r="J8" s="5">
        <v>130975</v>
      </c>
      <c r="K8" s="5" t="s">
        <v>182</v>
      </c>
      <c r="L8" s="5" t="s">
        <v>144</v>
      </c>
      <c r="M8" s="5" t="s">
        <v>144</v>
      </c>
      <c r="N8" s="5" t="s">
        <v>144</v>
      </c>
    </row>
    <row r="9" spans="1:14" x14ac:dyDescent="0.35">
      <c r="A9" t="s">
        <v>13</v>
      </c>
      <c r="B9" t="s">
        <v>26</v>
      </c>
      <c r="C9" s="3" t="s">
        <v>105</v>
      </c>
      <c r="D9" s="3">
        <v>0</v>
      </c>
      <c r="E9" s="8">
        <f t="shared" si="0"/>
        <v>7000</v>
      </c>
      <c r="F9" s="3" t="s">
        <v>114</v>
      </c>
      <c r="G9" s="3">
        <v>2724</v>
      </c>
      <c r="H9" s="3" t="s">
        <v>146</v>
      </c>
      <c r="I9" s="3" t="s">
        <v>144</v>
      </c>
      <c r="J9" s="3" t="s">
        <v>144</v>
      </c>
      <c r="K9" s="3" t="s">
        <v>144</v>
      </c>
      <c r="L9" s="3" t="s">
        <v>144</v>
      </c>
      <c r="M9" s="3" t="s">
        <v>242</v>
      </c>
      <c r="N9" s="3" t="s">
        <v>247</v>
      </c>
    </row>
    <row r="10" spans="1:14" s="4" customFormat="1" x14ac:dyDescent="0.35">
      <c r="A10" s="4" t="s">
        <v>13</v>
      </c>
      <c r="B10" s="4" t="s">
        <v>27</v>
      </c>
      <c r="C10" s="5" t="s">
        <v>106</v>
      </c>
      <c r="D10" s="5">
        <v>4733</v>
      </c>
      <c r="E10" s="8">
        <f t="shared" si="0"/>
        <v>2267</v>
      </c>
      <c r="F10" s="5" t="s">
        <v>115</v>
      </c>
      <c r="G10" s="5" t="s">
        <v>144</v>
      </c>
      <c r="H10" s="5" t="s">
        <v>144</v>
      </c>
      <c r="I10" s="5" t="s">
        <v>144</v>
      </c>
      <c r="J10" s="5" t="s">
        <v>144</v>
      </c>
      <c r="K10" s="5" t="s">
        <v>144</v>
      </c>
      <c r="L10" s="5">
        <v>14</v>
      </c>
      <c r="M10" s="5" t="s">
        <v>144</v>
      </c>
      <c r="N10" s="5" t="s">
        <v>144</v>
      </c>
    </row>
    <row r="11" spans="1:14" s="4" customFormat="1" x14ac:dyDescent="0.35">
      <c r="A11" s="4" t="s">
        <v>13</v>
      </c>
      <c r="B11" s="4" t="s">
        <v>28</v>
      </c>
      <c r="C11" s="5" t="s">
        <v>106</v>
      </c>
      <c r="D11" s="5">
        <v>4375</v>
      </c>
      <c r="E11" s="8">
        <f t="shared" si="0"/>
        <v>2625</v>
      </c>
      <c r="F11" s="5" t="s">
        <v>116</v>
      </c>
      <c r="G11" s="5" t="s">
        <v>144</v>
      </c>
      <c r="H11" s="5" t="s">
        <v>144</v>
      </c>
      <c r="I11" s="5" t="s">
        <v>144</v>
      </c>
      <c r="J11" s="5" t="s">
        <v>144</v>
      </c>
      <c r="K11" s="5" t="s">
        <v>144</v>
      </c>
      <c r="L11" s="5">
        <v>14</v>
      </c>
      <c r="M11" s="5" t="s">
        <v>144</v>
      </c>
      <c r="N11" s="5" t="s">
        <v>144</v>
      </c>
    </row>
    <row r="12" spans="1:14" x14ac:dyDescent="0.35">
      <c r="A12" t="s">
        <v>13</v>
      </c>
      <c r="B12" t="s">
        <v>29</v>
      </c>
      <c r="C12" s="3" t="s">
        <v>104</v>
      </c>
      <c r="D12" s="3">
        <v>2087</v>
      </c>
      <c r="E12" s="8">
        <f t="shared" si="0"/>
        <v>4913</v>
      </c>
      <c r="F12" s="3" t="s">
        <v>117</v>
      </c>
      <c r="G12" s="3">
        <v>1729</v>
      </c>
      <c r="H12" s="3" t="s">
        <v>147</v>
      </c>
      <c r="I12" s="3">
        <v>0</v>
      </c>
      <c r="J12" s="3">
        <v>84</v>
      </c>
      <c r="K12" s="3" t="s">
        <v>183</v>
      </c>
      <c r="L12" s="3" t="s">
        <v>144</v>
      </c>
      <c r="M12" s="3" t="s">
        <v>144</v>
      </c>
      <c r="N12" s="3" t="s">
        <v>144</v>
      </c>
    </row>
    <row r="13" spans="1:14" x14ac:dyDescent="0.35">
      <c r="A13" t="s">
        <v>13</v>
      </c>
      <c r="B13" t="s">
        <v>30</v>
      </c>
      <c r="C13" s="3" t="s">
        <v>104</v>
      </c>
      <c r="D13" s="3">
        <v>2087</v>
      </c>
      <c r="E13" s="8">
        <f t="shared" si="0"/>
        <v>4913</v>
      </c>
      <c r="F13" s="3" t="s">
        <v>117</v>
      </c>
      <c r="G13" s="3">
        <v>1288</v>
      </c>
      <c r="H13" s="3" t="s">
        <v>148</v>
      </c>
      <c r="I13" s="3">
        <v>0</v>
      </c>
      <c r="J13" s="3">
        <v>99</v>
      </c>
      <c r="K13" s="3" t="s">
        <v>184</v>
      </c>
      <c r="L13" s="3" t="s">
        <v>144</v>
      </c>
      <c r="M13" s="3" t="s">
        <v>144</v>
      </c>
      <c r="N13" s="3" t="s">
        <v>144</v>
      </c>
    </row>
    <row r="14" spans="1:14" x14ac:dyDescent="0.35">
      <c r="A14" t="s">
        <v>13</v>
      </c>
      <c r="B14" t="s">
        <v>31</v>
      </c>
      <c r="C14" s="3" t="s">
        <v>104</v>
      </c>
      <c r="D14" s="3">
        <v>2087</v>
      </c>
      <c r="E14" s="8">
        <f t="shared" si="0"/>
        <v>4913</v>
      </c>
      <c r="F14" s="3" t="s">
        <v>117</v>
      </c>
      <c r="G14" s="3">
        <v>888</v>
      </c>
      <c r="H14" s="3" t="s">
        <v>149</v>
      </c>
      <c r="I14" s="3">
        <v>0</v>
      </c>
      <c r="J14" s="3">
        <v>140</v>
      </c>
      <c r="K14" s="3" t="s">
        <v>185</v>
      </c>
      <c r="L14" s="3" t="s">
        <v>144</v>
      </c>
      <c r="M14" s="3" t="s">
        <v>144</v>
      </c>
      <c r="N14" s="3" t="s">
        <v>144</v>
      </c>
    </row>
    <row r="15" spans="1:14" x14ac:dyDescent="0.35">
      <c r="A15" t="s">
        <v>13</v>
      </c>
      <c r="B15" t="s">
        <v>32</v>
      </c>
      <c r="C15" s="3" t="s">
        <v>104</v>
      </c>
      <c r="D15" s="3">
        <v>2087</v>
      </c>
      <c r="E15" s="8">
        <f t="shared" si="0"/>
        <v>4913</v>
      </c>
      <c r="F15" s="3" t="s">
        <v>117</v>
      </c>
      <c r="G15" s="3">
        <v>1729</v>
      </c>
      <c r="H15" s="3" t="s">
        <v>147</v>
      </c>
      <c r="I15" s="3">
        <v>0</v>
      </c>
      <c r="J15" s="3">
        <v>26</v>
      </c>
      <c r="K15" s="3" t="s">
        <v>186</v>
      </c>
      <c r="L15" s="3" t="s">
        <v>144</v>
      </c>
      <c r="M15" s="3" t="s">
        <v>144</v>
      </c>
      <c r="N15" s="3" t="s">
        <v>144</v>
      </c>
    </row>
    <row r="16" spans="1:14" x14ac:dyDescent="0.35">
      <c r="A16" t="s">
        <v>13</v>
      </c>
      <c r="B16" t="s">
        <v>33</v>
      </c>
      <c r="C16" s="3" t="s">
        <v>104</v>
      </c>
      <c r="D16" s="3">
        <v>2087</v>
      </c>
      <c r="E16" s="8">
        <f t="shared" si="0"/>
        <v>4913</v>
      </c>
      <c r="F16" s="3" t="s">
        <v>117</v>
      </c>
      <c r="G16" s="3">
        <v>1288</v>
      </c>
      <c r="H16" s="3" t="s">
        <v>148</v>
      </c>
      <c r="I16" s="3">
        <v>0</v>
      </c>
      <c r="J16" s="3">
        <v>28</v>
      </c>
      <c r="K16" s="3" t="s">
        <v>187</v>
      </c>
      <c r="L16" s="3" t="s">
        <v>144</v>
      </c>
      <c r="M16" s="3" t="s">
        <v>144</v>
      </c>
      <c r="N16" s="3" t="s">
        <v>144</v>
      </c>
    </row>
    <row r="17" spans="1:14" x14ac:dyDescent="0.35">
      <c r="A17" t="s">
        <v>13</v>
      </c>
      <c r="B17" t="s">
        <v>34</v>
      </c>
      <c r="C17" s="3" t="s">
        <v>104</v>
      </c>
      <c r="D17" s="3">
        <v>2087</v>
      </c>
      <c r="E17" s="8">
        <f t="shared" si="0"/>
        <v>4913</v>
      </c>
      <c r="F17" s="3" t="s">
        <v>117</v>
      </c>
      <c r="G17" s="3">
        <v>888</v>
      </c>
      <c r="H17" s="3" t="s">
        <v>149</v>
      </c>
      <c r="I17" s="3">
        <v>0</v>
      </c>
      <c r="J17" s="3">
        <v>31</v>
      </c>
      <c r="K17" s="3" t="s">
        <v>188</v>
      </c>
      <c r="L17" s="3" t="s">
        <v>144</v>
      </c>
      <c r="M17" s="3" t="s">
        <v>144</v>
      </c>
      <c r="N17" s="3" t="s">
        <v>144</v>
      </c>
    </row>
    <row r="18" spans="1:14" x14ac:dyDescent="0.35">
      <c r="A18" t="s">
        <v>13</v>
      </c>
      <c r="B18" t="s">
        <v>35</v>
      </c>
      <c r="C18" s="3" t="s">
        <v>104</v>
      </c>
      <c r="D18" s="3">
        <v>2087</v>
      </c>
      <c r="E18" s="8">
        <f t="shared" si="0"/>
        <v>4913</v>
      </c>
      <c r="F18" s="3" t="s">
        <v>117</v>
      </c>
      <c r="G18" s="3">
        <v>2646</v>
      </c>
      <c r="H18" s="3" t="s">
        <v>150</v>
      </c>
      <c r="I18" s="3">
        <v>0</v>
      </c>
      <c r="J18" s="3">
        <v>8</v>
      </c>
      <c r="K18" s="3" t="s">
        <v>189</v>
      </c>
      <c r="L18" s="3" t="s">
        <v>144</v>
      </c>
      <c r="M18" s="3" t="s">
        <v>144</v>
      </c>
      <c r="N18" s="3" t="s">
        <v>144</v>
      </c>
    </row>
    <row r="19" spans="1:14" x14ac:dyDescent="0.35">
      <c r="A19" t="s">
        <v>13</v>
      </c>
      <c r="B19" t="s">
        <v>36</v>
      </c>
      <c r="C19" s="3" t="s">
        <v>104</v>
      </c>
      <c r="D19" s="3">
        <v>2087</v>
      </c>
      <c r="E19" s="8">
        <f t="shared" si="0"/>
        <v>4913</v>
      </c>
      <c r="F19" s="3" t="s">
        <v>117</v>
      </c>
      <c r="G19" s="3">
        <v>2288</v>
      </c>
      <c r="H19" s="3" t="s">
        <v>151</v>
      </c>
      <c r="I19" s="3">
        <v>0</v>
      </c>
      <c r="J19" s="3">
        <v>10</v>
      </c>
      <c r="K19" s="3" t="s">
        <v>190</v>
      </c>
      <c r="L19" s="3" t="s">
        <v>144</v>
      </c>
      <c r="M19" s="3" t="s">
        <v>144</v>
      </c>
      <c r="N19" s="3" t="s">
        <v>144</v>
      </c>
    </row>
    <row r="20" spans="1:14" x14ac:dyDescent="0.35">
      <c r="A20" t="s">
        <v>13</v>
      </c>
      <c r="B20" t="s">
        <v>37</v>
      </c>
      <c r="C20" s="3" t="s">
        <v>104</v>
      </c>
      <c r="D20" s="3">
        <v>2087</v>
      </c>
      <c r="E20" s="8">
        <f t="shared" si="0"/>
        <v>4913</v>
      </c>
      <c r="F20" s="3" t="s">
        <v>117</v>
      </c>
      <c r="G20" s="3">
        <v>1701</v>
      </c>
      <c r="H20" s="3" t="s">
        <v>152</v>
      </c>
      <c r="I20" s="3">
        <v>0</v>
      </c>
      <c r="J20" s="3">
        <v>90</v>
      </c>
      <c r="K20" s="3" t="s">
        <v>191</v>
      </c>
      <c r="L20" s="3" t="s">
        <v>144</v>
      </c>
      <c r="M20" s="3" t="s">
        <v>144</v>
      </c>
      <c r="N20" s="3" t="s">
        <v>144</v>
      </c>
    </row>
    <row r="21" spans="1:14" x14ac:dyDescent="0.35">
      <c r="A21" t="s">
        <v>13</v>
      </c>
      <c r="B21" t="s">
        <v>38</v>
      </c>
      <c r="C21" s="3" t="s">
        <v>104</v>
      </c>
      <c r="D21" s="3">
        <v>2087</v>
      </c>
      <c r="E21" s="8">
        <f t="shared" si="0"/>
        <v>4913</v>
      </c>
      <c r="F21" s="3" t="s">
        <v>117</v>
      </c>
      <c r="G21" s="3">
        <v>1234</v>
      </c>
      <c r="H21" s="3" t="s">
        <v>153</v>
      </c>
      <c r="I21" s="3">
        <v>0</v>
      </c>
      <c r="J21" s="3">
        <v>129</v>
      </c>
      <c r="K21" s="3" t="s">
        <v>192</v>
      </c>
      <c r="L21" s="3" t="s">
        <v>144</v>
      </c>
      <c r="M21" s="3" t="s">
        <v>144</v>
      </c>
      <c r="N21" s="3" t="s">
        <v>144</v>
      </c>
    </row>
    <row r="22" spans="1:14" s="4" customFormat="1" x14ac:dyDescent="0.35">
      <c r="A22" s="4" t="s">
        <v>13</v>
      </c>
      <c r="B22" s="4" t="s">
        <v>39</v>
      </c>
      <c r="C22" s="5" t="s">
        <v>104</v>
      </c>
      <c r="D22" s="5">
        <v>6777</v>
      </c>
      <c r="E22" s="8">
        <f t="shared" si="0"/>
        <v>223</v>
      </c>
      <c r="F22" s="5" t="s">
        <v>118</v>
      </c>
      <c r="G22" s="5">
        <v>0</v>
      </c>
      <c r="H22" s="5" t="s">
        <v>114</v>
      </c>
      <c r="I22" s="5">
        <v>1</v>
      </c>
      <c r="J22" s="5">
        <v>118</v>
      </c>
      <c r="K22" s="5" t="s">
        <v>193</v>
      </c>
      <c r="L22" s="5" t="s">
        <v>144</v>
      </c>
      <c r="M22" s="5" t="s">
        <v>144</v>
      </c>
      <c r="N22" s="5" t="s">
        <v>144</v>
      </c>
    </row>
    <row r="23" spans="1:14" s="6" customFormat="1" x14ac:dyDescent="0.35">
      <c r="A23" s="6" t="s">
        <v>13</v>
      </c>
      <c r="B23" s="6" t="s">
        <v>40</v>
      </c>
      <c r="C23" s="7" t="s">
        <v>104</v>
      </c>
      <c r="D23" s="7">
        <v>2087</v>
      </c>
      <c r="E23" s="8">
        <f t="shared" si="0"/>
        <v>4913</v>
      </c>
      <c r="F23" s="7" t="s">
        <v>117</v>
      </c>
      <c r="G23" s="7">
        <v>860</v>
      </c>
      <c r="H23" s="7" t="s">
        <v>154</v>
      </c>
      <c r="I23" s="7">
        <v>0</v>
      </c>
      <c r="J23" s="7">
        <v>179</v>
      </c>
      <c r="K23" s="7" t="s">
        <v>194</v>
      </c>
      <c r="L23" s="7" t="s">
        <v>144</v>
      </c>
      <c r="M23" s="7" t="s">
        <v>144</v>
      </c>
      <c r="N23" s="7" t="s">
        <v>144</v>
      </c>
    </row>
    <row r="24" spans="1:14" s="4" customFormat="1" x14ac:dyDescent="0.35">
      <c r="A24" s="4" t="s">
        <v>13</v>
      </c>
      <c r="B24" s="4" t="s">
        <v>41</v>
      </c>
      <c r="C24" s="5" t="s">
        <v>104</v>
      </c>
      <c r="D24" s="5">
        <v>2087</v>
      </c>
      <c r="E24" s="8">
        <f t="shared" si="0"/>
        <v>4913</v>
      </c>
      <c r="F24" s="5" t="s">
        <v>117</v>
      </c>
      <c r="G24" s="5">
        <v>1918</v>
      </c>
      <c r="H24" s="5" t="s">
        <v>155</v>
      </c>
      <c r="I24" s="5">
        <v>0</v>
      </c>
      <c r="J24" s="5">
        <v>86</v>
      </c>
      <c r="K24" s="5" t="s">
        <v>195</v>
      </c>
      <c r="L24" s="5" t="s">
        <v>144</v>
      </c>
      <c r="M24" s="5" t="s">
        <v>144</v>
      </c>
      <c r="N24" s="5" t="s">
        <v>144</v>
      </c>
    </row>
    <row r="25" spans="1:14" s="4" customFormat="1" x14ac:dyDescent="0.35">
      <c r="A25" s="4" t="s">
        <v>13</v>
      </c>
      <c r="B25" s="4" t="s">
        <v>42</v>
      </c>
      <c r="C25" s="5" t="s">
        <v>104</v>
      </c>
      <c r="D25" s="5">
        <v>2087</v>
      </c>
      <c r="E25" s="8">
        <f t="shared" si="0"/>
        <v>4913</v>
      </c>
      <c r="F25" s="5" t="s">
        <v>117</v>
      </c>
      <c r="G25" s="5">
        <v>1439</v>
      </c>
      <c r="H25" s="5" t="s">
        <v>156</v>
      </c>
      <c r="I25" s="5">
        <v>0</v>
      </c>
      <c r="J25" s="5">
        <v>112</v>
      </c>
      <c r="K25" s="5" t="s">
        <v>196</v>
      </c>
      <c r="L25" s="5" t="s">
        <v>144</v>
      </c>
      <c r="M25" s="5" t="s">
        <v>144</v>
      </c>
      <c r="N25" s="5" t="s">
        <v>144</v>
      </c>
    </row>
    <row r="26" spans="1:14" s="4" customFormat="1" x14ac:dyDescent="0.35">
      <c r="A26" s="4" t="s">
        <v>13</v>
      </c>
      <c r="B26" s="4" t="s">
        <v>43</v>
      </c>
      <c r="C26" s="5" t="s">
        <v>104</v>
      </c>
      <c r="D26" s="5">
        <v>2087</v>
      </c>
      <c r="E26" s="8">
        <f t="shared" si="0"/>
        <v>4913</v>
      </c>
      <c r="F26" s="5" t="s">
        <v>117</v>
      </c>
      <c r="G26" s="5">
        <v>1043</v>
      </c>
      <c r="H26" s="5" t="s">
        <v>157</v>
      </c>
      <c r="I26" s="5">
        <v>0</v>
      </c>
      <c r="J26" s="5">
        <v>160</v>
      </c>
      <c r="K26" s="5" t="s">
        <v>197</v>
      </c>
      <c r="L26" s="5" t="s">
        <v>144</v>
      </c>
      <c r="M26" s="5" t="s">
        <v>144</v>
      </c>
      <c r="N26" s="5" t="s">
        <v>144</v>
      </c>
    </row>
    <row r="27" spans="1:14" x14ac:dyDescent="0.35">
      <c r="A27" t="s">
        <v>13</v>
      </c>
      <c r="B27" t="s">
        <v>44</v>
      </c>
      <c r="C27" s="3" t="s">
        <v>107</v>
      </c>
      <c r="D27" s="3">
        <v>2087</v>
      </c>
      <c r="E27" s="8">
        <f t="shared" si="0"/>
        <v>4913</v>
      </c>
      <c r="F27" s="3" t="s">
        <v>117</v>
      </c>
      <c r="G27" s="3">
        <v>4690</v>
      </c>
      <c r="H27" s="3" t="s">
        <v>158</v>
      </c>
      <c r="I27" s="3" t="s">
        <v>144</v>
      </c>
      <c r="J27" s="3" t="s">
        <v>144</v>
      </c>
      <c r="K27" s="3" t="s">
        <v>144</v>
      </c>
      <c r="L27" s="3" t="s">
        <v>144</v>
      </c>
      <c r="M27" s="3" t="s">
        <v>243</v>
      </c>
      <c r="N27" s="3" t="s">
        <v>248</v>
      </c>
    </row>
    <row r="28" spans="1:14" x14ac:dyDescent="0.35">
      <c r="A28" t="s">
        <v>13</v>
      </c>
      <c r="B28" t="s">
        <v>45</v>
      </c>
      <c r="C28" s="3" t="s">
        <v>107</v>
      </c>
      <c r="D28" s="3">
        <v>0</v>
      </c>
      <c r="E28" s="8">
        <f t="shared" si="0"/>
        <v>7000</v>
      </c>
      <c r="F28" s="3" t="s">
        <v>114</v>
      </c>
      <c r="G28" s="3">
        <v>6777</v>
      </c>
      <c r="H28" s="3" t="s">
        <v>118</v>
      </c>
      <c r="I28" s="3" t="s">
        <v>144</v>
      </c>
      <c r="J28" s="3" t="s">
        <v>144</v>
      </c>
      <c r="K28" s="3" t="s">
        <v>144</v>
      </c>
      <c r="L28" s="3" t="s">
        <v>144</v>
      </c>
      <c r="M28" s="3" t="s">
        <v>243</v>
      </c>
      <c r="N28" s="3" t="s">
        <v>249</v>
      </c>
    </row>
    <row r="29" spans="1:14" s="4" customFormat="1" x14ac:dyDescent="0.35">
      <c r="A29" s="4" t="s">
        <v>13</v>
      </c>
      <c r="B29" s="4" t="s">
        <v>46</v>
      </c>
      <c r="C29" s="5" t="s">
        <v>104</v>
      </c>
      <c r="D29" s="5">
        <v>3816</v>
      </c>
      <c r="E29" s="8">
        <f t="shared" si="0"/>
        <v>3184</v>
      </c>
      <c r="F29" s="5" t="s">
        <v>119</v>
      </c>
      <c r="G29" s="5">
        <v>0</v>
      </c>
      <c r="H29" s="5" t="s">
        <v>114</v>
      </c>
      <c r="I29" s="5">
        <v>1</v>
      </c>
      <c r="J29" s="5">
        <v>72</v>
      </c>
      <c r="K29" s="5" t="s">
        <v>198</v>
      </c>
      <c r="L29" s="5" t="s">
        <v>144</v>
      </c>
      <c r="M29" s="5" t="s">
        <v>144</v>
      </c>
      <c r="N29" s="5" t="s">
        <v>144</v>
      </c>
    </row>
    <row r="30" spans="1:14" s="4" customFormat="1" x14ac:dyDescent="0.35">
      <c r="A30" s="4" t="s">
        <v>13</v>
      </c>
      <c r="B30" s="4" t="s">
        <v>47</v>
      </c>
      <c r="C30" s="5" t="s">
        <v>104</v>
      </c>
      <c r="D30" s="5">
        <v>3375</v>
      </c>
      <c r="E30" s="8">
        <f t="shared" si="0"/>
        <v>3625</v>
      </c>
      <c r="F30" s="5" t="s">
        <v>120</v>
      </c>
      <c r="G30" s="5">
        <v>0</v>
      </c>
      <c r="H30" s="5" t="s">
        <v>114</v>
      </c>
      <c r="I30" s="5">
        <v>1</v>
      </c>
      <c r="J30" s="5">
        <v>129</v>
      </c>
      <c r="K30" s="5" t="s">
        <v>199</v>
      </c>
      <c r="L30" s="5" t="s">
        <v>144</v>
      </c>
      <c r="M30" s="5" t="s">
        <v>144</v>
      </c>
      <c r="N30" s="5" t="s">
        <v>144</v>
      </c>
    </row>
    <row r="31" spans="1:14" s="4" customFormat="1" x14ac:dyDescent="0.35">
      <c r="A31" s="4" t="s">
        <v>13</v>
      </c>
      <c r="B31" s="4" t="s">
        <v>48</v>
      </c>
      <c r="C31" s="5" t="s">
        <v>104</v>
      </c>
      <c r="D31" s="5">
        <v>2975</v>
      </c>
      <c r="E31" s="8">
        <f t="shared" si="0"/>
        <v>4025</v>
      </c>
      <c r="F31" s="5" t="s">
        <v>121</v>
      </c>
      <c r="G31" s="5">
        <v>0</v>
      </c>
      <c r="H31" s="5" t="s">
        <v>114</v>
      </c>
      <c r="I31" s="5">
        <v>1</v>
      </c>
      <c r="J31" s="5">
        <v>170</v>
      </c>
      <c r="K31" s="5" t="s">
        <v>200</v>
      </c>
      <c r="L31" s="5" t="s">
        <v>144</v>
      </c>
      <c r="M31" s="5" t="s">
        <v>144</v>
      </c>
      <c r="N31" s="5" t="s">
        <v>144</v>
      </c>
    </row>
    <row r="32" spans="1:14" s="4" customFormat="1" x14ac:dyDescent="0.35">
      <c r="A32" s="4" t="s">
        <v>13</v>
      </c>
      <c r="B32" s="4" t="s">
        <v>49</v>
      </c>
      <c r="C32" s="5" t="s">
        <v>104</v>
      </c>
      <c r="D32" s="5">
        <v>4005</v>
      </c>
      <c r="E32" s="8">
        <f t="shared" si="0"/>
        <v>2995</v>
      </c>
      <c r="F32" s="5" t="s">
        <v>111</v>
      </c>
      <c r="G32" s="5">
        <v>0</v>
      </c>
      <c r="H32" s="5" t="s">
        <v>114</v>
      </c>
      <c r="I32" s="5">
        <v>60</v>
      </c>
      <c r="J32" s="5">
        <v>3185238</v>
      </c>
      <c r="K32" s="5" t="s">
        <v>201</v>
      </c>
      <c r="L32" s="5" t="s">
        <v>144</v>
      </c>
      <c r="M32" s="5" t="s">
        <v>144</v>
      </c>
      <c r="N32" s="5" t="s">
        <v>144</v>
      </c>
    </row>
    <row r="33" spans="1:14" s="4" customFormat="1" x14ac:dyDescent="0.35">
      <c r="A33" s="4" t="s">
        <v>13</v>
      </c>
      <c r="B33" s="4" t="s">
        <v>50</v>
      </c>
      <c r="C33" s="5" t="s">
        <v>104</v>
      </c>
      <c r="D33" s="5">
        <v>3526</v>
      </c>
      <c r="E33" s="8">
        <f t="shared" si="0"/>
        <v>3474</v>
      </c>
      <c r="F33" s="5" t="s">
        <v>112</v>
      </c>
      <c r="G33" s="5">
        <v>1</v>
      </c>
      <c r="H33" s="5" t="s">
        <v>145</v>
      </c>
      <c r="I33" s="5">
        <v>0</v>
      </c>
      <c r="J33" s="5">
        <v>3350782</v>
      </c>
      <c r="K33" s="5" t="s">
        <v>202</v>
      </c>
      <c r="L33" s="5" t="s">
        <v>144</v>
      </c>
      <c r="M33" s="5" t="s">
        <v>144</v>
      </c>
      <c r="N33" s="5" t="s">
        <v>144</v>
      </c>
    </row>
    <row r="34" spans="1:14" s="4" customFormat="1" x14ac:dyDescent="0.35">
      <c r="A34" s="4" t="s">
        <v>13</v>
      </c>
      <c r="B34" s="4" t="s">
        <v>51</v>
      </c>
      <c r="C34" s="5" t="s">
        <v>104</v>
      </c>
      <c r="D34" s="5">
        <v>3130</v>
      </c>
      <c r="E34" s="8">
        <f t="shared" si="0"/>
        <v>3870</v>
      </c>
      <c r="F34" s="5" t="s">
        <v>113</v>
      </c>
      <c r="G34" s="5">
        <v>0</v>
      </c>
      <c r="H34" s="5" t="s">
        <v>114</v>
      </c>
      <c r="I34" s="5">
        <v>75</v>
      </c>
      <c r="J34" s="5">
        <v>4167910</v>
      </c>
      <c r="K34" s="5" t="s">
        <v>203</v>
      </c>
      <c r="L34" s="5" t="s">
        <v>144</v>
      </c>
      <c r="M34" s="5" t="s">
        <v>144</v>
      </c>
      <c r="N34" s="5" t="s">
        <v>144</v>
      </c>
    </row>
    <row r="35" spans="1:14" x14ac:dyDescent="0.35">
      <c r="A35" t="s">
        <v>14</v>
      </c>
      <c r="B35" t="s">
        <v>52</v>
      </c>
      <c r="C35" s="3" t="s">
        <v>105</v>
      </c>
      <c r="D35" s="3">
        <v>0</v>
      </c>
      <c r="E35" s="8">
        <f t="shared" si="0"/>
        <v>7000</v>
      </c>
      <c r="F35" s="3" t="s">
        <v>114</v>
      </c>
      <c r="G35" s="3">
        <v>4980</v>
      </c>
      <c r="H35" s="3" t="s">
        <v>159</v>
      </c>
      <c r="I35" s="3" t="s">
        <v>144</v>
      </c>
      <c r="J35" s="3" t="s">
        <v>144</v>
      </c>
      <c r="K35" s="3" t="s">
        <v>144</v>
      </c>
      <c r="L35" s="3" t="s">
        <v>144</v>
      </c>
      <c r="M35" s="3" t="s">
        <v>244</v>
      </c>
      <c r="N35" s="3" t="s">
        <v>250</v>
      </c>
    </row>
    <row r="36" spans="1:14" x14ac:dyDescent="0.35">
      <c r="A36" t="s">
        <v>14</v>
      </c>
      <c r="B36" t="s">
        <v>53</v>
      </c>
      <c r="C36" s="3" t="s">
        <v>106</v>
      </c>
      <c r="D36" s="3">
        <v>0</v>
      </c>
      <c r="E36" s="8">
        <f t="shared" si="0"/>
        <v>7000</v>
      </c>
      <c r="F36" s="3" t="s">
        <v>114</v>
      </c>
      <c r="G36" s="3" t="s">
        <v>144</v>
      </c>
      <c r="H36" s="3" t="s">
        <v>144</v>
      </c>
      <c r="I36" s="3" t="s">
        <v>144</v>
      </c>
      <c r="J36" s="3" t="s">
        <v>144</v>
      </c>
      <c r="K36" s="3" t="s">
        <v>144</v>
      </c>
      <c r="L36" s="3">
        <v>5</v>
      </c>
      <c r="M36" s="3" t="s">
        <v>144</v>
      </c>
      <c r="N36" s="3" t="s">
        <v>144</v>
      </c>
    </row>
    <row r="37" spans="1:14" x14ac:dyDescent="0.35">
      <c r="A37" t="s">
        <v>14</v>
      </c>
      <c r="B37" t="s">
        <v>54</v>
      </c>
      <c r="C37" s="3" t="s">
        <v>108</v>
      </c>
      <c r="D37" s="3">
        <v>0</v>
      </c>
      <c r="E37" s="8">
        <f t="shared" si="0"/>
        <v>7000</v>
      </c>
      <c r="F37" s="3" t="s">
        <v>114</v>
      </c>
      <c r="G37" s="3">
        <v>372</v>
      </c>
      <c r="H37" s="3" t="s">
        <v>160</v>
      </c>
      <c r="I37" s="3">
        <v>0</v>
      </c>
      <c r="J37" s="3">
        <v>100</v>
      </c>
      <c r="K37" s="3" t="s">
        <v>204</v>
      </c>
      <c r="L37" s="3" t="s">
        <v>144</v>
      </c>
      <c r="M37" s="3" t="s">
        <v>144</v>
      </c>
      <c r="N37" s="3" t="s">
        <v>144</v>
      </c>
    </row>
    <row r="38" spans="1:14" x14ac:dyDescent="0.35">
      <c r="A38" t="s">
        <v>14</v>
      </c>
      <c r="B38" t="s">
        <v>55</v>
      </c>
      <c r="C38" s="3" t="s">
        <v>106</v>
      </c>
      <c r="D38" s="3">
        <v>0</v>
      </c>
      <c r="E38" s="8">
        <f t="shared" si="0"/>
        <v>7000</v>
      </c>
      <c r="F38" s="3" t="s">
        <v>114</v>
      </c>
      <c r="G38" s="3" t="s">
        <v>144</v>
      </c>
      <c r="H38" s="3" t="s">
        <v>144</v>
      </c>
      <c r="I38" s="3" t="s">
        <v>144</v>
      </c>
      <c r="J38" s="3" t="s">
        <v>144</v>
      </c>
      <c r="K38" s="3" t="s">
        <v>144</v>
      </c>
      <c r="L38" s="3">
        <v>5</v>
      </c>
      <c r="M38" s="3" t="s">
        <v>144</v>
      </c>
      <c r="N38" s="3" t="s">
        <v>144</v>
      </c>
    </row>
    <row r="39" spans="1:14" x14ac:dyDescent="0.35">
      <c r="A39" t="s">
        <v>14</v>
      </c>
      <c r="B39" t="s">
        <v>56</v>
      </c>
      <c r="C39" s="3" t="s">
        <v>108</v>
      </c>
      <c r="D39" s="3">
        <v>0</v>
      </c>
      <c r="E39" s="8">
        <f t="shared" si="0"/>
        <v>7000</v>
      </c>
      <c r="F39" s="3" t="s">
        <v>114</v>
      </c>
      <c r="G39" s="3">
        <v>82</v>
      </c>
      <c r="H39" s="3" t="s">
        <v>161</v>
      </c>
      <c r="I39" s="3">
        <v>0</v>
      </c>
      <c r="J39" s="3">
        <v>100</v>
      </c>
      <c r="K39" s="3" t="s">
        <v>205</v>
      </c>
      <c r="L39" s="3" t="s">
        <v>144</v>
      </c>
      <c r="M39" s="3" t="s">
        <v>144</v>
      </c>
      <c r="N39" s="3" t="s">
        <v>144</v>
      </c>
    </row>
    <row r="40" spans="1:14" s="4" customFormat="1" x14ac:dyDescent="0.35">
      <c r="A40" s="4" t="s">
        <v>14</v>
      </c>
      <c r="B40" s="4" t="s">
        <v>57</v>
      </c>
      <c r="C40" s="5" t="s">
        <v>108</v>
      </c>
      <c r="D40" s="5">
        <v>0</v>
      </c>
      <c r="E40" s="8">
        <f t="shared" si="0"/>
        <v>7000</v>
      </c>
      <c r="F40" s="5" t="s">
        <v>114</v>
      </c>
      <c r="G40" s="5">
        <v>0</v>
      </c>
      <c r="H40" s="5" t="s">
        <v>114</v>
      </c>
      <c r="I40" s="5">
        <v>2</v>
      </c>
      <c r="J40" s="5">
        <v>14847778</v>
      </c>
      <c r="K40" s="5" t="s">
        <v>206</v>
      </c>
      <c r="L40" s="5" t="s">
        <v>144</v>
      </c>
      <c r="M40" s="5" t="s">
        <v>144</v>
      </c>
      <c r="N40" s="5" t="s">
        <v>144</v>
      </c>
    </row>
    <row r="41" spans="1:14" x14ac:dyDescent="0.35">
      <c r="A41" t="s">
        <v>14</v>
      </c>
      <c r="B41" t="s">
        <v>58</v>
      </c>
      <c r="C41" s="3" t="s">
        <v>108</v>
      </c>
      <c r="D41" s="3">
        <v>0</v>
      </c>
      <c r="E41" s="8">
        <f t="shared" si="0"/>
        <v>7000</v>
      </c>
      <c r="F41" s="3" t="s">
        <v>114</v>
      </c>
      <c r="G41" s="3">
        <v>0</v>
      </c>
      <c r="H41" s="3" t="s">
        <v>114</v>
      </c>
      <c r="I41" s="3">
        <v>1</v>
      </c>
      <c r="J41" s="3">
        <v>458903</v>
      </c>
      <c r="K41" s="3" t="s">
        <v>207</v>
      </c>
      <c r="L41" s="3" t="s">
        <v>144</v>
      </c>
      <c r="M41" s="3" t="s">
        <v>144</v>
      </c>
      <c r="N41" s="3" t="s">
        <v>144</v>
      </c>
    </row>
    <row r="42" spans="1:14" x14ac:dyDescent="0.35">
      <c r="A42" t="s">
        <v>14</v>
      </c>
      <c r="B42" t="s">
        <v>59</v>
      </c>
      <c r="C42" s="3" t="s">
        <v>104</v>
      </c>
      <c r="D42" s="3">
        <v>0</v>
      </c>
      <c r="E42" s="8">
        <f t="shared" si="0"/>
        <v>7000</v>
      </c>
      <c r="F42" s="3" t="s">
        <v>114</v>
      </c>
      <c r="G42" s="3">
        <v>0</v>
      </c>
      <c r="H42" s="3" t="s">
        <v>114</v>
      </c>
      <c r="I42" s="3">
        <v>26.02413665904167</v>
      </c>
      <c r="J42" s="3">
        <v>99.387116793764918</v>
      </c>
      <c r="K42" s="3" t="s">
        <v>208</v>
      </c>
      <c r="L42" s="3" t="s">
        <v>144</v>
      </c>
      <c r="M42" s="3" t="s">
        <v>144</v>
      </c>
      <c r="N42" s="3" t="s">
        <v>144</v>
      </c>
    </row>
    <row r="43" spans="1:14" x14ac:dyDescent="0.35">
      <c r="A43" t="s">
        <v>14</v>
      </c>
      <c r="B43" t="s">
        <v>60</v>
      </c>
      <c r="C43" s="3" t="s">
        <v>106</v>
      </c>
      <c r="D43" s="3">
        <v>67</v>
      </c>
      <c r="E43" s="8">
        <f t="shared" si="0"/>
        <v>6933</v>
      </c>
      <c r="F43" s="3" t="s">
        <v>122</v>
      </c>
      <c r="G43" s="3" t="s">
        <v>144</v>
      </c>
      <c r="H43" s="3" t="s">
        <v>144</v>
      </c>
      <c r="I43" s="3" t="s">
        <v>144</v>
      </c>
      <c r="J43" s="3" t="s">
        <v>144</v>
      </c>
      <c r="K43" s="3" t="s">
        <v>144</v>
      </c>
      <c r="L43" s="3">
        <v>112</v>
      </c>
      <c r="M43" s="3" t="s">
        <v>144</v>
      </c>
      <c r="N43" s="3" t="s">
        <v>144</v>
      </c>
    </row>
    <row r="44" spans="1:14" x14ac:dyDescent="0.35">
      <c r="A44" t="s">
        <v>14</v>
      </c>
      <c r="B44" t="s">
        <v>61</v>
      </c>
      <c r="C44" s="3" t="s">
        <v>106</v>
      </c>
      <c r="D44" s="3">
        <v>67</v>
      </c>
      <c r="E44" s="8">
        <f t="shared" si="0"/>
        <v>6933</v>
      </c>
      <c r="F44" s="3" t="s">
        <v>122</v>
      </c>
      <c r="G44" s="3" t="s">
        <v>144</v>
      </c>
      <c r="H44" s="3" t="s">
        <v>144</v>
      </c>
      <c r="I44" s="3" t="s">
        <v>144</v>
      </c>
      <c r="J44" s="3" t="s">
        <v>144</v>
      </c>
      <c r="K44" s="3" t="s">
        <v>144</v>
      </c>
      <c r="L44" s="3">
        <v>7</v>
      </c>
      <c r="M44" s="3" t="s">
        <v>144</v>
      </c>
      <c r="N44" s="3" t="s">
        <v>144</v>
      </c>
    </row>
    <row r="45" spans="1:14" x14ac:dyDescent="0.35">
      <c r="A45" t="s">
        <v>14</v>
      </c>
      <c r="B45" t="s">
        <v>62</v>
      </c>
      <c r="C45" s="3" t="s">
        <v>106</v>
      </c>
      <c r="D45" s="3">
        <v>4561</v>
      </c>
      <c r="E45" s="8">
        <f t="shared" si="0"/>
        <v>2439</v>
      </c>
      <c r="F45" s="3" t="s">
        <v>123</v>
      </c>
      <c r="G45" s="3" t="s">
        <v>144</v>
      </c>
      <c r="H45" s="3" t="s">
        <v>144</v>
      </c>
      <c r="I45" s="3" t="s">
        <v>144</v>
      </c>
      <c r="J45" s="3" t="s">
        <v>144</v>
      </c>
      <c r="K45" s="3" t="s">
        <v>144</v>
      </c>
      <c r="L45" s="3">
        <v>11</v>
      </c>
      <c r="M45" s="3" t="s">
        <v>144</v>
      </c>
      <c r="N45" s="3" t="s">
        <v>144</v>
      </c>
    </row>
    <row r="46" spans="1:14" x14ac:dyDescent="0.35">
      <c r="A46" t="s">
        <v>14</v>
      </c>
      <c r="B46" t="s">
        <v>63</v>
      </c>
      <c r="C46" s="3" t="s">
        <v>106</v>
      </c>
      <c r="D46" s="3">
        <v>0</v>
      </c>
      <c r="E46" s="8">
        <f t="shared" si="0"/>
        <v>7000</v>
      </c>
      <c r="F46" s="3" t="s">
        <v>114</v>
      </c>
      <c r="G46" s="3" t="s">
        <v>144</v>
      </c>
      <c r="H46" s="3" t="s">
        <v>144</v>
      </c>
      <c r="I46" s="3" t="s">
        <v>144</v>
      </c>
      <c r="J46" s="3" t="s">
        <v>144</v>
      </c>
      <c r="K46" s="3" t="s">
        <v>144</v>
      </c>
      <c r="L46" s="3">
        <v>12</v>
      </c>
      <c r="M46" s="3" t="s">
        <v>144</v>
      </c>
      <c r="N46" s="3" t="s">
        <v>144</v>
      </c>
    </row>
    <row r="47" spans="1:14" x14ac:dyDescent="0.35">
      <c r="A47" t="s">
        <v>14</v>
      </c>
      <c r="B47" t="s">
        <v>64</v>
      </c>
      <c r="C47" s="3" t="s">
        <v>106</v>
      </c>
      <c r="D47" s="3">
        <v>2608</v>
      </c>
      <c r="E47" s="8">
        <f t="shared" si="0"/>
        <v>4392</v>
      </c>
      <c r="F47" s="3" t="s">
        <v>124</v>
      </c>
      <c r="G47" s="3" t="s">
        <v>144</v>
      </c>
      <c r="H47" s="3" t="s">
        <v>144</v>
      </c>
      <c r="I47" s="3" t="s">
        <v>144</v>
      </c>
      <c r="J47" s="3" t="s">
        <v>144</v>
      </c>
      <c r="K47" s="3" t="s">
        <v>144</v>
      </c>
      <c r="L47" s="3">
        <v>1083</v>
      </c>
      <c r="M47" s="3" t="s">
        <v>144</v>
      </c>
      <c r="N47" s="3" t="s">
        <v>144</v>
      </c>
    </row>
    <row r="48" spans="1:14" x14ac:dyDescent="0.35">
      <c r="A48" t="s">
        <v>14</v>
      </c>
      <c r="B48" t="s">
        <v>65</v>
      </c>
      <c r="C48" s="3" t="s">
        <v>107</v>
      </c>
      <c r="D48" s="3">
        <v>524</v>
      </c>
      <c r="E48" s="8">
        <f t="shared" si="0"/>
        <v>6476</v>
      </c>
      <c r="F48" s="3" t="s">
        <v>125</v>
      </c>
      <c r="G48" s="3">
        <v>4765</v>
      </c>
      <c r="H48" s="3" t="s">
        <v>162</v>
      </c>
      <c r="I48" s="3" t="s">
        <v>144</v>
      </c>
      <c r="J48" s="3" t="s">
        <v>144</v>
      </c>
      <c r="K48" s="3" t="s">
        <v>144</v>
      </c>
      <c r="L48" s="3" t="s">
        <v>144</v>
      </c>
      <c r="M48" s="3" t="s">
        <v>245</v>
      </c>
      <c r="N48" s="3" t="s">
        <v>251</v>
      </c>
    </row>
    <row r="49" spans="1:14" x14ac:dyDescent="0.35">
      <c r="A49" t="s">
        <v>14</v>
      </c>
      <c r="B49" t="s">
        <v>66</v>
      </c>
      <c r="C49" s="3" t="s">
        <v>105</v>
      </c>
      <c r="D49" s="3">
        <v>0</v>
      </c>
      <c r="E49" s="8">
        <f t="shared" si="0"/>
        <v>7000</v>
      </c>
      <c r="F49" s="3" t="s">
        <v>114</v>
      </c>
      <c r="G49" s="3">
        <v>6363</v>
      </c>
      <c r="H49" s="3" t="s">
        <v>163</v>
      </c>
      <c r="I49" s="3" t="s">
        <v>144</v>
      </c>
      <c r="J49" s="3" t="s">
        <v>144</v>
      </c>
      <c r="K49" s="3" t="s">
        <v>144</v>
      </c>
      <c r="L49" s="3" t="s">
        <v>144</v>
      </c>
      <c r="M49" s="3" t="s">
        <v>246</v>
      </c>
      <c r="N49" s="3" t="s">
        <v>252</v>
      </c>
    </row>
    <row r="50" spans="1:14" x14ac:dyDescent="0.35">
      <c r="A50" t="s">
        <v>14</v>
      </c>
      <c r="B50" t="s">
        <v>67</v>
      </c>
      <c r="C50" s="3" t="s">
        <v>106</v>
      </c>
      <c r="D50" s="3">
        <v>0</v>
      </c>
      <c r="E50" s="8">
        <f t="shared" si="0"/>
        <v>7000</v>
      </c>
      <c r="F50" s="3" t="s">
        <v>114</v>
      </c>
      <c r="G50" s="3" t="s">
        <v>144</v>
      </c>
      <c r="H50" s="3" t="s">
        <v>144</v>
      </c>
      <c r="I50" s="3" t="s">
        <v>144</v>
      </c>
      <c r="J50" s="3" t="s">
        <v>144</v>
      </c>
      <c r="K50" s="3" t="s">
        <v>144</v>
      </c>
      <c r="L50" s="3">
        <v>339</v>
      </c>
      <c r="M50" s="3" t="s">
        <v>144</v>
      </c>
      <c r="N50" s="3" t="s">
        <v>144</v>
      </c>
    </row>
    <row r="51" spans="1:14" x14ac:dyDescent="0.35">
      <c r="A51" t="s">
        <v>14</v>
      </c>
      <c r="B51" t="s">
        <v>68</v>
      </c>
      <c r="C51" s="3" t="s">
        <v>106</v>
      </c>
      <c r="D51" s="3">
        <v>0</v>
      </c>
      <c r="E51" s="8">
        <f t="shared" si="0"/>
        <v>7000</v>
      </c>
      <c r="F51" s="3" t="s">
        <v>114</v>
      </c>
      <c r="G51" s="3" t="s">
        <v>144</v>
      </c>
      <c r="H51" s="3" t="s">
        <v>144</v>
      </c>
      <c r="I51" s="3" t="s">
        <v>144</v>
      </c>
      <c r="J51" s="3" t="s">
        <v>144</v>
      </c>
      <c r="K51" s="3" t="s">
        <v>144</v>
      </c>
      <c r="L51" s="3">
        <v>4</v>
      </c>
      <c r="M51" s="3" t="s">
        <v>144</v>
      </c>
      <c r="N51" s="3" t="s">
        <v>144</v>
      </c>
    </row>
    <row r="52" spans="1:14" x14ac:dyDescent="0.35">
      <c r="A52" t="s">
        <v>14</v>
      </c>
      <c r="B52" t="s">
        <v>69</v>
      </c>
      <c r="C52" s="3" t="s">
        <v>106</v>
      </c>
      <c r="D52" s="3">
        <v>0</v>
      </c>
      <c r="E52" s="8">
        <f t="shared" si="0"/>
        <v>7000</v>
      </c>
      <c r="F52" s="3" t="s">
        <v>114</v>
      </c>
      <c r="G52" s="3" t="s">
        <v>144</v>
      </c>
      <c r="H52" s="3" t="s">
        <v>144</v>
      </c>
      <c r="I52" s="3" t="s">
        <v>144</v>
      </c>
      <c r="J52" s="3" t="s">
        <v>144</v>
      </c>
      <c r="K52" s="3" t="s">
        <v>144</v>
      </c>
      <c r="L52" s="3">
        <v>11</v>
      </c>
      <c r="M52" s="3" t="s">
        <v>144</v>
      </c>
      <c r="N52" s="3" t="s">
        <v>144</v>
      </c>
    </row>
    <row r="53" spans="1:14" x14ac:dyDescent="0.35">
      <c r="A53" t="s">
        <v>14</v>
      </c>
      <c r="B53" t="s">
        <v>70</v>
      </c>
      <c r="C53" s="3" t="s">
        <v>106</v>
      </c>
      <c r="D53" s="3">
        <v>524</v>
      </c>
      <c r="E53" s="8">
        <f t="shared" si="0"/>
        <v>6476</v>
      </c>
      <c r="F53" s="3" t="s">
        <v>125</v>
      </c>
      <c r="G53" s="3" t="s">
        <v>144</v>
      </c>
      <c r="H53" s="3" t="s">
        <v>144</v>
      </c>
      <c r="I53" s="3" t="s">
        <v>144</v>
      </c>
      <c r="J53" s="3" t="s">
        <v>144</v>
      </c>
      <c r="K53" s="3" t="s">
        <v>144</v>
      </c>
      <c r="L53" s="3">
        <v>3574</v>
      </c>
      <c r="M53" s="3" t="s">
        <v>144</v>
      </c>
      <c r="N53" s="3" t="s">
        <v>144</v>
      </c>
    </row>
    <row r="54" spans="1:14" x14ac:dyDescent="0.35">
      <c r="A54" t="s">
        <v>15</v>
      </c>
      <c r="B54" t="s">
        <v>71</v>
      </c>
      <c r="C54" s="3" t="s">
        <v>104</v>
      </c>
      <c r="D54" s="3">
        <v>543</v>
      </c>
      <c r="E54" s="8">
        <f t="shared" si="0"/>
        <v>6457</v>
      </c>
      <c r="F54" s="3" t="s">
        <v>126</v>
      </c>
      <c r="G54" s="3">
        <v>648</v>
      </c>
      <c r="H54" s="3" t="s">
        <v>164</v>
      </c>
      <c r="I54" s="3">
        <v>0</v>
      </c>
      <c r="J54" s="3">
        <v>43152895</v>
      </c>
      <c r="K54" s="3" t="s">
        <v>209</v>
      </c>
      <c r="L54" s="3" t="s">
        <v>144</v>
      </c>
      <c r="M54" s="3" t="s">
        <v>144</v>
      </c>
      <c r="N54" s="3" t="s">
        <v>144</v>
      </c>
    </row>
    <row r="55" spans="1:14" x14ac:dyDescent="0.35">
      <c r="A55" t="s">
        <v>15</v>
      </c>
      <c r="B55" t="s">
        <v>72</v>
      </c>
      <c r="C55" s="3" t="s">
        <v>104</v>
      </c>
      <c r="D55" s="3">
        <v>543</v>
      </c>
      <c r="E55" s="8">
        <f t="shared" si="0"/>
        <v>6457</v>
      </c>
      <c r="F55" s="3" t="s">
        <v>126</v>
      </c>
      <c r="G55" s="3">
        <v>4</v>
      </c>
      <c r="H55" s="3" t="s">
        <v>165</v>
      </c>
      <c r="I55" s="3">
        <v>0</v>
      </c>
      <c r="J55" s="3">
        <v>75271226</v>
      </c>
      <c r="K55" s="3" t="s">
        <v>210</v>
      </c>
      <c r="L55" s="3" t="s">
        <v>144</v>
      </c>
      <c r="M55" s="3" t="s">
        <v>144</v>
      </c>
      <c r="N55" s="3" t="s">
        <v>144</v>
      </c>
    </row>
    <row r="56" spans="1:14" x14ac:dyDescent="0.35">
      <c r="A56" t="s">
        <v>15</v>
      </c>
      <c r="B56" t="s">
        <v>73</v>
      </c>
      <c r="C56" s="3" t="s">
        <v>104</v>
      </c>
      <c r="D56" s="3">
        <v>226</v>
      </c>
      <c r="E56" s="8">
        <f t="shared" si="0"/>
        <v>6774</v>
      </c>
      <c r="F56" s="3" t="s">
        <v>127</v>
      </c>
      <c r="G56" s="3">
        <v>110</v>
      </c>
      <c r="H56" s="3" t="s">
        <v>166</v>
      </c>
      <c r="I56" s="3">
        <v>0</v>
      </c>
      <c r="J56" s="3">
        <v>2473</v>
      </c>
      <c r="K56" s="3" t="s">
        <v>211</v>
      </c>
      <c r="L56" s="3" t="s">
        <v>144</v>
      </c>
      <c r="M56" s="3" t="s">
        <v>144</v>
      </c>
      <c r="N56" s="3" t="s">
        <v>144</v>
      </c>
    </row>
    <row r="57" spans="1:14" x14ac:dyDescent="0.35">
      <c r="A57" t="s">
        <v>15</v>
      </c>
      <c r="B57" t="s">
        <v>74</v>
      </c>
      <c r="C57" s="3" t="s">
        <v>104</v>
      </c>
      <c r="D57" s="3">
        <v>226</v>
      </c>
      <c r="E57" s="8">
        <f t="shared" si="0"/>
        <v>6774</v>
      </c>
      <c r="F57" s="3" t="s">
        <v>127</v>
      </c>
      <c r="G57" s="3">
        <v>0</v>
      </c>
      <c r="H57" s="3" t="s">
        <v>114</v>
      </c>
      <c r="I57" s="3">
        <v>1</v>
      </c>
      <c r="J57" s="3">
        <v>6407</v>
      </c>
      <c r="K57" s="3" t="s">
        <v>212</v>
      </c>
      <c r="L57" s="3" t="s">
        <v>144</v>
      </c>
      <c r="M57" s="3" t="s">
        <v>144</v>
      </c>
      <c r="N57" s="3" t="s">
        <v>144</v>
      </c>
    </row>
    <row r="58" spans="1:14" x14ac:dyDescent="0.35">
      <c r="A58" t="s">
        <v>15</v>
      </c>
      <c r="B58" t="s">
        <v>75</v>
      </c>
      <c r="C58" s="3" t="s">
        <v>104</v>
      </c>
      <c r="D58" s="3">
        <v>799</v>
      </c>
      <c r="E58" s="8">
        <f t="shared" si="0"/>
        <v>6201</v>
      </c>
      <c r="F58" s="3" t="s">
        <v>128</v>
      </c>
      <c r="G58" s="3">
        <v>20</v>
      </c>
      <c r="H58" s="3" t="s">
        <v>167</v>
      </c>
      <c r="I58" s="3">
        <v>0</v>
      </c>
      <c r="J58" s="3">
        <v>1570</v>
      </c>
      <c r="K58" s="3" t="s">
        <v>213</v>
      </c>
      <c r="L58" s="3" t="s">
        <v>144</v>
      </c>
      <c r="M58" s="3" t="s">
        <v>144</v>
      </c>
      <c r="N58" s="3" t="s">
        <v>144</v>
      </c>
    </row>
    <row r="59" spans="1:14" x14ac:dyDescent="0.35">
      <c r="A59" t="s">
        <v>15</v>
      </c>
      <c r="B59" t="s">
        <v>76</v>
      </c>
      <c r="C59" s="3" t="s">
        <v>104</v>
      </c>
      <c r="D59" s="3">
        <v>799</v>
      </c>
      <c r="E59" s="8">
        <f t="shared" si="0"/>
        <v>6201</v>
      </c>
      <c r="F59" s="3" t="s">
        <v>128</v>
      </c>
      <c r="G59" s="3">
        <v>0</v>
      </c>
      <c r="H59" s="3" t="s">
        <v>114</v>
      </c>
      <c r="I59" s="3">
        <v>1</v>
      </c>
      <c r="J59" s="3">
        <v>1680</v>
      </c>
      <c r="K59" s="3" t="s">
        <v>214</v>
      </c>
      <c r="L59" s="3" t="s">
        <v>144</v>
      </c>
      <c r="M59" s="3" t="s">
        <v>144</v>
      </c>
      <c r="N59" s="3" t="s">
        <v>144</v>
      </c>
    </row>
    <row r="60" spans="1:14" x14ac:dyDescent="0.35">
      <c r="A60" t="s">
        <v>15</v>
      </c>
      <c r="B60" t="s">
        <v>77</v>
      </c>
      <c r="C60" s="3" t="s">
        <v>104</v>
      </c>
      <c r="D60" s="3">
        <v>543</v>
      </c>
      <c r="E60" s="8">
        <f t="shared" si="0"/>
        <v>6457</v>
      </c>
      <c r="F60" s="3" t="s">
        <v>126</v>
      </c>
      <c r="G60" s="3">
        <v>648</v>
      </c>
      <c r="H60" s="3" t="s">
        <v>164</v>
      </c>
      <c r="I60" s="3">
        <v>0</v>
      </c>
      <c r="J60" s="3">
        <v>413</v>
      </c>
      <c r="K60" s="3" t="s">
        <v>215</v>
      </c>
      <c r="L60" s="3" t="s">
        <v>144</v>
      </c>
      <c r="M60" s="3" t="s">
        <v>144</v>
      </c>
      <c r="N60" s="3" t="s">
        <v>144</v>
      </c>
    </row>
    <row r="61" spans="1:14" x14ac:dyDescent="0.35">
      <c r="A61" t="s">
        <v>15</v>
      </c>
      <c r="B61" t="s">
        <v>78</v>
      </c>
      <c r="C61" s="3" t="s">
        <v>104</v>
      </c>
      <c r="D61" s="3">
        <v>543</v>
      </c>
      <c r="E61" s="8">
        <f t="shared" si="0"/>
        <v>6457</v>
      </c>
      <c r="F61" s="3" t="s">
        <v>126</v>
      </c>
      <c r="G61" s="3">
        <v>0</v>
      </c>
      <c r="H61" s="3" t="s">
        <v>114</v>
      </c>
      <c r="I61" s="3">
        <v>1</v>
      </c>
      <c r="J61" s="3">
        <v>2024</v>
      </c>
      <c r="K61" s="3" t="s">
        <v>216</v>
      </c>
      <c r="L61" s="3" t="s">
        <v>144</v>
      </c>
      <c r="M61" s="3" t="s">
        <v>144</v>
      </c>
      <c r="N61" s="3" t="s">
        <v>144</v>
      </c>
    </row>
    <row r="62" spans="1:14" x14ac:dyDescent="0.35">
      <c r="A62" t="s">
        <v>15</v>
      </c>
      <c r="B62" t="s">
        <v>79</v>
      </c>
      <c r="C62" s="3" t="s">
        <v>104</v>
      </c>
      <c r="D62" s="3">
        <v>11</v>
      </c>
      <c r="E62" s="8">
        <f t="shared" si="0"/>
        <v>6989</v>
      </c>
      <c r="F62" s="3" t="s">
        <v>129</v>
      </c>
      <c r="G62" s="3">
        <v>218</v>
      </c>
      <c r="H62" s="3" t="s">
        <v>168</v>
      </c>
      <c r="I62" s="3">
        <v>0</v>
      </c>
      <c r="J62" s="3">
        <v>2393</v>
      </c>
      <c r="K62" s="3" t="s">
        <v>217</v>
      </c>
      <c r="L62" s="3" t="s">
        <v>144</v>
      </c>
      <c r="M62" s="3" t="s">
        <v>144</v>
      </c>
      <c r="N62" s="3" t="s">
        <v>144</v>
      </c>
    </row>
    <row r="63" spans="1:14" x14ac:dyDescent="0.35">
      <c r="A63" t="s">
        <v>15</v>
      </c>
      <c r="B63" t="s">
        <v>80</v>
      </c>
      <c r="C63" s="3" t="s">
        <v>104</v>
      </c>
      <c r="D63" s="3">
        <v>11</v>
      </c>
      <c r="E63" s="8">
        <f t="shared" si="0"/>
        <v>6989</v>
      </c>
      <c r="F63" s="3" t="s">
        <v>129</v>
      </c>
      <c r="G63" s="3">
        <v>0</v>
      </c>
      <c r="H63" s="3" t="s">
        <v>114</v>
      </c>
      <c r="I63" s="3">
        <v>2</v>
      </c>
      <c r="J63" s="3">
        <v>3376367</v>
      </c>
      <c r="K63" s="3" t="s">
        <v>218</v>
      </c>
      <c r="L63" s="3" t="s">
        <v>144</v>
      </c>
      <c r="M63" s="3" t="s">
        <v>144</v>
      </c>
      <c r="N63" s="3" t="s">
        <v>144</v>
      </c>
    </row>
    <row r="64" spans="1:14" x14ac:dyDescent="0.35">
      <c r="A64" t="s">
        <v>15</v>
      </c>
      <c r="B64" t="s">
        <v>81</v>
      </c>
      <c r="C64" s="3" t="s">
        <v>104</v>
      </c>
      <c r="D64" s="3">
        <v>431</v>
      </c>
      <c r="E64" s="8">
        <f t="shared" si="0"/>
        <v>6569</v>
      </c>
      <c r="F64" s="3" t="s">
        <v>130</v>
      </c>
      <c r="G64" s="3">
        <v>703</v>
      </c>
      <c r="H64" s="3" t="s">
        <v>169</v>
      </c>
      <c r="I64" s="3">
        <v>0</v>
      </c>
      <c r="J64" s="3">
        <v>204</v>
      </c>
      <c r="K64" s="3" t="s">
        <v>219</v>
      </c>
      <c r="L64" s="3" t="s">
        <v>144</v>
      </c>
      <c r="M64" s="3" t="s">
        <v>144</v>
      </c>
      <c r="N64" s="3" t="s">
        <v>144</v>
      </c>
    </row>
    <row r="65" spans="1:14" x14ac:dyDescent="0.35">
      <c r="A65" t="s">
        <v>15</v>
      </c>
      <c r="B65" t="s">
        <v>82</v>
      </c>
      <c r="C65" s="3" t="s">
        <v>104</v>
      </c>
      <c r="D65" s="3">
        <v>431</v>
      </c>
      <c r="E65" s="8">
        <f t="shared" si="0"/>
        <v>6569</v>
      </c>
      <c r="F65" s="3" t="s">
        <v>130</v>
      </c>
      <c r="G65" s="3">
        <v>0</v>
      </c>
      <c r="H65" s="3" t="s">
        <v>114</v>
      </c>
      <c r="I65" s="3">
        <v>1</v>
      </c>
      <c r="J65" s="3">
        <v>1271</v>
      </c>
      <c r="K65" s="3" t="s">
        <v>220</v>
      </c>
      <c r="L65" s="3" t="s">
        <v>144</v>
      </c>
      <c r="M65" s="3" t="s">
        <v>144</v>
      </c>
      <c r="N65" s="3" t="s">
        <v>144</v>
      </c>
    </row>
    <row r="66" spans="1:14" x14ac:dyDescent="0.35">
      <c r="A66" t="s">
        <v>15</v>
      </c>
      <c r="B66" t="s">
        <v>83</v>
      </c>
      <c r="C66" s="3" t="s">
        <v>104</v>
      </c>
      <c r="D66" s="3">
        <v>11</v>
      </c>
      <c r="E66" s="8">
        <f t="shared" si="0"/>
        <v>6989</v>
      </c>
      <c r="F66" s="3" t="s">
        <v>129</v>
      </c>
      <c r="G66" s="3">
        <v>244</v>
      </c>
      <c r="H66" s="3" t="s">
        <v>170</v>
      </c>
      <c r="I66" s="3">
        <v>0</v>
      </c>
      <c r="J66" s="3">
        <v>401578965</v>
      </c>
      <c r="K66" s="3" t="s">
        <v>221</v>
      </c>
      <c r="L66" s="3" t="s">
        <v>144</v>
      </c>
      <c r="M66" s="3" t="s">
        <v>144</v>
      </c>
      <c r="N66" s="3" t="s">
        <v>144</v>
      </c>
    </row>
    <row r="67" spans="1:14" x14ac:dyDescent="0.35">
      <c r="A67" t="s">
        <v>15</v>
      </c>
      <c r="B67" t="s">
        <v>84</v>
      </c>
      <c r="C67" s="3" t="s">
        <v>104</v>
      </c>
      <c r="D67" s="3">
        <v>549</v>
      </c>
      <c r="E67" s="8">
        <f t="shared" ref="E67:E86" si="1">7000-D67</f>
        <v>6451</v>
      </c>
      <c r="F67" s="3" t="s">
        <v>131</v>
      </c>
      <c r="G67" s="3">
        <v>0</v>
      </c>
      <c r="H67" s="3" t="s">
        <v>114</v>
      </c>
      <c r="I67" s="3">
        <v>1</v>
      </c>
      <c r="J67" s="3">
        <v>14446891354</v>
      </c>
      <c r="K67" s="3" t="s">
        <v>222</v>
      </c>
      <c r="L67" s="3" t="s">
        <v>144</v>
      </c>
      <c r="M67" s="3" t="s">
        <v>144</v>
      </c>
      <c r="N67" s="3" t="s">
        <v>144</v>
      </c>
    </row>
    <row r="68" spans="1:14" x14ac:dyDescent="0.35">
      <c r="A68" t="s">
        <v>16</v>
      </c>
      <c r="B68" t="s">
        <v>85</v>
      </c>
      <c r="C68" s="3" t="s">
        <v>104</v>
      </c>
      <c r="D68" s="3">
        <v>606</v>
      </c>
      <c r="E68" s="8">
        <f t="shared" si="1"/>
        <v>6394</v>
      </c>
      <c r="F68" s="3" t="s">
        <v>132</v>
      </c>
      <c r="G68" s="3">
        <v>0</v>
      </c>
      <c r="H68" s="3" t="s">
        <v>114</v>
      </c>
      <c r="I68" s="3">
        <v>15</v>
      </c>
      <c r="J68" s="3">
        <v>415101450</v>
      </c>
      <c r="K68" s="3" t="s">
        <v>223</v>
      </c>
      <c r="L68" s="3" t="s">
        <v>144</v>
      </c>
      <c r="M68" s="3" t="s">
        <v>144</v>
      </c>
      <c r="N68" s="3" t="s">
        <v>144</v>
      </c>
    </row>
    <row r="69" spans="1:14" x14ac:dyDescent="0.35">
      <c r="A69" t="s">
        <v>16</v>
      </c>
      <c r="B69" t="s">
        <v>86</v>
      </c>
      <c r="C69" s="3" t="s">
        <v>104</v>
      </c>
      <c r="D69" s="3">
        <v>2199</v>
      </c>
      <c r="E69" s="8">
        <f t="shared" si="1"/>
        <v>4801</v>
      </c>
      <c r="F69" s="3" t="s">
        <v>133</v>
      </c>
      <c r="G69" s="3">
        <v>0</v>
      </c>
      <c r="H69" s="3" t="s">
        <v>114</v>
      </c>
      <c r="I69" s="3">
        <v>1</v>
      </c>
      <c r="J69" s="3">
        <v>92600000</v>
      </c>
      <c r="K69" s="3" t="s">
        <v>224</v>
      </c>
      <c r="L69" s="3" t="s">
        <v>144</v>
      </c>
      <c r="M69" s="3" t="s">
        <v>144</v>
      </c>
      <c r="N69" s="3" t="s">
        <v>144</v>
      </c>
    </row>
    <row r="70" spans="1:14" x14ac:dyDescent="0.35">
      <c r="A70" t="s">
        <v>16</v>
      </c>
      <c r="B70" t="s">
        <v>87</v>
      </c>
      <c r="C70" s="3" t="s">
        <v>104</v>
      </c>
      <c r="D70" s="3">
        <v>2199</v>
      </c>
      <c r="E70" s="8">
        <f t="shared" si="1"/>
        <v>4801</v>
      </c>
      <c r="F70" s="3" t="s">
        <v>133</v>
      </c>
      <c r="G70" s="3">
        <v>71</v>
      </c>
      <c r="H70" s="3" t="s">
        <v>171</v>
      </c>
      <c r="I70" s="3">
        <v>0</v>
      </c>
      <c r="J70" s="3">
        <v>5300000000</v>
      </c>
      <c r="K70" s="3" t="s">
        <v>225</v>
      </c>
      <c r="L70" s="3" t="s">
        <v>144</v>
      </c>
      <c r="M70" s="3" t="s">
        <v>144</v>
      </c>
      <c r="N70" s="3" t="s">
        <v>144</v>
      </c>
    </row>
    <row r="71" spans="1:14" x14ac:dyDescent="0.35">
      <c r="A71" t="s">
        <v>16</v>
      </c>
      <c r="B71" t="s">
        <v>88</v>
      </c>
      <c r="C71" s="3" t="s">
        <v>104</v>
      </c>
      <c r="D71" s="3">
        <v>66</v>
      </c>
      <c r="E71" s="8">
        <f t="shared" si="1"/>
        <v>6934</v>
      </c>
      <c r="F71" s="3" t="s">
        <v>134</v>
      </c>
      <c r="G71" s="3">
        <v>3</v>
      </c>
      <c r="H71" s="3" t="s">
        <v>172</v>
      </c>
      <c r="I71" s="3">
        <v>0</v>
      </c>
      <c r="J71" s="3">
        <v>294275870</v>
      </c>
      <c r="K71" s="3" t="s">
        <v>226</v>
      </c>
      <c r="L71" s="3" t="s">
        <v>144</v>
      </c>
      <c r="M71" s="3" t="s">
        <v>144</v>
      </c>
      <c r="N71" s="3" t="s">
        <v>144</v>
      </c>
    </row>
    <row r="72" spans="1:14" x14ac:dyDescent="0.35">
      <c r="A72" t="s">
        <v>16</v>
      </c>
      <c r="B72" t="s">
        <v>89</v>
      </c>
      <c r="C72" s="3" t="s">
        <v>104</v>
      </c>
      <c r="D72" s="3">
        <v>66</v>
      </c>
      <c r="E72" s="8">
        <f t="shared" si="1"/>
        <v>6934</v>
      </c>
      <c r="F72" s="3" t="s">
        <v>134</v>
      </c>
      <c r="G72" s="3">
        <v>0</v>
      </c>
      <c r="H72" s="3" t="s">
        <v>114</v>
      </c>
      <c r="I72" s="3">
        <v>109</v>
      </c>
      <c r="J72" s="3">
        <v>225624671689</v>
      </c>
      <c r="K72" s="3" t="s">
        <v>227</v>
      </c>
      <c r="L72" s="3" t="s">
        <v>144</v>
      </c>
      <c r="M72" s="3" t="s">
        <v>144</v>
      </c>
      <c r="N72" s="3" t="s">
        <v>144</v>
      </c>
    </row>
    <row r="73" spans="1:14" x14ac:dyDescent="0.35">
      <c r="A73" t="s">
        <v>16</v>
      </c>
      <c r="B73" t="s">
        <v>90</v>
      </c>
      <c r="C73" s="3" t="s">
        <v>104</v>
      </c>
      <c r="D73" s="3">
        <v>67</v>
      </c>
      <c r="E73" s="8">
        <f t="shared" si="1"/>
        <v>6933</v>
      </c>
      <c r="F73" s="3" t="s">
        <v>122</v>
      </c>
      <c r="G73" s="3">
        <v>3</v>
      </c>
      <c r="H73" s="3" t="s">
        <v>172</v>
      </c>
      <c r="I73" s="3">
        <v>0</v>
      </c>
      <c r="J73" s="3">
        <v>151680251</v>
      </c>
      <c r="K73" s="3" t="s">
        <v>228</v>
      </c>
      <c r="L73" s="3" t="s">
        <v>144</v>
      </c>
      <c r="M73" s="3" t="s">
        <v>144</v>
      </c>
      <c r="N73" s="3" t="s">
        <v>144</v>
      </c>
    </row>
    <row r="74" spans="1:14" x14ac:dyDescent="0.35">
      <c r="A74" t="s">
        <v>16</v>
      </c>
      <c r="B74" t="s">
        <v>91</v>
      </c>
      <c r="C74" s="3" t="s">
        <v>104</v>
      </c>
      <c r="D74" s="3">
        <v>1773</v>
      </c>
      <c r="E74" s="8">
        <f t="shared" si="1"/>
        <v>5227</v>
      </c>
      <c r="F74" s="3" t="s">
        <v>135</v>
      </c>
      <c r="G74" s="3">
        <v>0</v>
      </c>
      <c r="H74" s="3" t="s">
        <v>114</v>
      </c>
      <c r="I74" s="3">
        <v>1</v>
      </c>
      <c r="J74" s="3">
        <v>96700769</v>
      </c>
      <c r="K74" s="3" t="s">
        <v>229</v>
      </c>
      <c r="L74" s="3" t="s">
        <v>144</v>
      </c>
      <c r="M74" s="3" t="s">
        <v>144</v>
      </c>
      <c r="N74" s="3" t="s">
        <v>144</v>
      </c>
    </row>
    <row r="75" spans="1:14" x14ac:dyDescent="0.35">
      <c r="A75" t="s">
        <v>17</v>
      </c>
      <c r="B75" t="s">
        <v>92</v>
      </c>
      <c r="C75" s="3" t="s">
        <v>104</v>
      </c>
      <c r="D75" s="3">
        <v>198</v>
      </c>
      <c r="E75" s="8">
        <f t="shared" si="1"/>
        <v>6802</v>
      </c>
      <c r="F75" s="3" t="s">
        <v>136</v>
      </c>
      <c r="G75" s="3">
        <v>0</v>
      </c>
      <c r="H75" s="3" t="s">
        <v>114</v>
      </c>
      <c r="I75" s="3">
        <v>1</v>
      </c>
      <c r="J75" s="3">
        <v>20740405</v>
      </c>
      <c r="K75" s="3" t="s">
        <v>230</v>
      </c>
      <c r="L75" s="3" t="s">
        <v>144</v>
      </c>
      <c r="M75" s="3" t="s">
        <v>144</v>
      </c>
      <c r="N75" s="3" t="s">
        <v>144</v>
      </c>
    </row>
    <row r="76" spans="1:14" x14ac:dyDescent="0.35">
      <c r="A76" t="s">
        <v>17</v>
      </c>
      <c r="B76" t="s">
        <v>93</v>
      </c>
      <c r="C76" s="3" t="s">
        <v>104</v>
      </c>
      <c r="D76" s="3">
        <v>670</v>
      </c>
      <c r="E76" s="8">
        <f t="shared" si="1"/>
        <v>6330</v>
      </c>
      <c r="F76" s="3" t="s">
        <v>137</v>
      </c>
      <c r="G76" s="3">
        <v>0</v>
      </c>
      <c r="H76" s="3" t="s">
        <v>114</v>
      </c>
      <c r="I76" s="3">
        <v>1</v>
      </c>
      <c r="J76" s="3">
        <v>92298921</v>
      </c>
      <c r="K76" s="3" t="s">
        <v>231</v>
      </c>
      <c r="L76" s="3" t="s">
        <v>144</v>
      </c>
      <c r="M76" s="3" t="s">
        <v>144</v>
      </c>
      <c r="N76" s="3" t="s">
        <v>144</v>
      </c>
    </row>
    <row r="77" spans="1:14" x14ac:dyDescent="0.35">
      <c r="A77" t="s">
        <v>17</v>
      </c>
      <c r="B77" t="s">
        <v>94</v>
      </c>
      <c r="C77" s="3" t="s">
        <v>104</v>
      </c>
      <c r="D77" s="3">
        <v>470</v>
      </c>
      <c r="E77" s="8">
        <f t="shared" si="1"/>
        <v>6530</v>
      </c>
      <c r="F77" s="3" t="s">
        <v>138</v>
      </c>
      <c r="G77" s="3">
        <v>0</v>
      </c>
      <c r="H77" s="3" t="s">
        <v>114</v>
      </c>
      <c r="I77" s="3">
        <v>1</v>
      </c>
      <c r="J77" s="3">
        <v>33495855298</v>
      </c>
      <c r="K77" s="3" t="s">
        <v>232</v>
      </c>
      <c r="L77" s="3" t="s">
        <v>144</v>
      </c>
      <c r="M77" s="3" t="s">
        <v>144</v>
      </c>
      <c r="N77" s="3" t="s">
        <v>144</v>
      </c>
    </row>
    <row r="78" spans="1:14" x14ac:dyDescent="0.35">
      <c r="A78" t="s">
        <v>17</v>
      </c>
      <c r="B78" t="s">
        <v>95</v>
      </c>
      <c r="C78" s="3" t="s">
        <v>104</v>
      </c>
      <c r="D78" s="3">
        <v>17</v>
      </c>
      <c r="E78" s="8">
        <f t="shared" si="1"/>
        <v>6983</v>
      </c>
      <c r="F78" s="3" t="s">
        <v>139</v>
      </c>
      <c r="G78" s="3">
        <v>0</v>
      </c>
      <c r="H78" s="3" t="s">
        <v>114</v>
      </c>
      <c r="I78" s="3">
        <v>1</v>
      </c>
      <c r="J78" s="3">
        <v>556229266</v>
      </c>
      <c r="K78" s="3" t="s">
        <v>233</v>
      </c>
      <c r="L78" s="3" t="s">
        <v>144</v>
      </c>
      <c r="M78" s="3" t="s">
        <v>144</v>
      </c>
      <c r="N78" s="3" t="s">
        <v>144</v>
      </c>
    </row>
    <row r="79" spans="1:14" x14ac:dyDescent="0.35">
      <c r="A79" t="s">
        <v>17</v>
      </c>
      <c r="B79" t="s">
        <v>96</v>
      </c>
      <c r="C79" s="3" t="s">
        <v>104</v>
      </c>
      <c r="D79" s="3">
        <v>22</v>
      </c>
      <c r="E79" s="8">
        <f t="shared" si="1"/>
        <v>6978</v>
      </c>
      <c r="F79" s="3" t="s">
        <v>140</v>
      </c>
      <c r="G79" s="3">
        <v>0</v>
      </c>
      <c r="H79" s="3" t="s">
        <v>114</v>
      </c>
      <c r="I79" s="3">
        <v>13</v>
      </c>
      <c r="J79" s="3">
        <v>176892662</v>
      </c>
      <c r="K79" s="3" t="s">
        <v>234</v>
      </c>
      <c r="L79" s="3" t="s">
        <v>144</v>
      </c>
      <c r="M79" s="3" t="s">
        <v>144</v>
      </c>
      <c r="N79" s="3" t="s">
        <v>144</v>
      </c>
    </row>
    <row r="80" spans="1:14" x14ac:dyDescent="0.35">
      <c r="A80" t="s">
        <v>17</v>
      </c>
      <c r="B80" t="s">
        <v>97</v>
      </c>
      <c r="C80" s="3" t="s">
        <v>104</v>
      </c>
      <c r="D80" s="3">
        <v>22</v>
      </c>
      <c r="E80" s="8">
        <f t="shared" si="1"/>
        <v>6978</v>
      </c>
      <c r="F80" s="3" t="s">
        <v>140</v>
      </c>
      <c r="G80" s="3">
        <v>0</v>
      </c>
      <c r="H80" s="3" t="s">
        <v>114</v>
      </c>
      <c r="I80" s="3">
        <v>1</v>
      </c>
      <c r="J80" s="3">
        <v>134166866</v>
      </c>
      <c r="K80" s="3" t="s">
        <v>235</v>
      </c>
      <c r="L80" s="3" t="s">
        <v>144</v>
      </c>
      <c r="M80" s="3" t="s">
        <v>144</v>
      </c>
      <c r="N80" s="3" t="s">
        <v>144</v>
      </c>
    </row>
    <row r="81" spans="1:14" x14ac:dyDescent="0.35">
      <c r="A81" t="s">
        <v>17</v>
      </c>
      <c r="B81" t="s">
        <v>98</v>
      </c>
      <c r="C81" s="3" t="s">
        <v>104</v>
      </c>
      <c r="D81" s="3">
        <v>11</v>
      </c>
      <c r="E81" s="8">
        <f t="shared" si="1"/>
        <v>6989</v>
      </c>
      <c r="F81" s="3" t="s">
        <v>129</v>
      </c>
      <c r="G81" s="3">
        <v>0</v>
      </c>
      <c r="H81" s="3" t="s">
        <v>114</v>
      </c>
      <c r="I81" s="3">
        <v>2</v>
      </c>
      <c r="J81" s="3">
        <v>1048509088</v>
      </c>
      <c r="K81" s="3" t="s">
        <v>236</v>
      </c>
      <c r="L81" s="3" t="s">
        <v>144</v>
      </c>
      <c r="M81" s="3" t="s">
        <v>144</v>
      </c>
      <c r="N81" s="3" t="s">
        <v>144</v>
      </c>
    </row>
    <row r="82" spans="1:14" x14ac:dyDescent="0.35">
      <c r="A82" t="s">
        <v>17</v>
      </c>
      <c r="B82" t="s">
        <v>99</v>
      </c>
      <c r="C82" s="3" t="s">
        <v>104</v>
      </c>
      <c r="D82" s="3">
        <v>8</v>
      </c>
      <c r="E82" s="8">
        <f t="shared" si="1"/>
        <v>6992</v>
      </c>
      <c r="F82" s="3" t="s">
        <v>141</v>
      </c>
      <c r="G82" s="3">
        <v>49</v>
      </c>
      <c r="H82" s="3" t="s">
        <v>173</v>
      </c>
      <c r="I82" s="3">
        <v>0</v>
      </c>
      <c r="J82" s="3">
        <v>100</v>
      </c>
      <c r="K82" s="3" t="s">
        <v>237</v>
      </c>
      <c r="L82" s="3" t="s">
        <v>144</v>
      </c>
      <c r="M82" s="3" t="s">
        <v>144</v>
      </c>
      <c r="N82" s="3" t="s">
        <v>144</v>
      </c>
    </row>
    <row r="83" spans="1:14" x14ac:dyDescent="0.35">
      <c r="A83" t="s">
        <v>18</v>
      </c>
      <c r="B83" t="s">
        <v>100</v>
      </c>
      <c r="C83" s="3" t="s">
        <v>104</v>
      </c>
      <c r="D83" s="3">
        <v>619</v>
      </c>
      <c r="E83" s="8">
        <f t="shared" si="1"/>
        <v>6381</v>
      </c>
      <c r="F83" s="3" t="s">
        <v>142</v>
      </c>
      <c r="G83" s="3">
        <v>35</v>
      </c>
      <c r="H83" s="3" t="s">
        <v>174</v>
      </c>
      <c r="I83" s="3">
        <v>0</v>
      </c>
      <c r="J83" s="3">
        <v>200000000</v>
      </c>
      <c r="K83" s="3" t="s">
        <v>238</v>
      </c>
      <c r="L83" s="3" t="s">
        <v>144</v>
      </c>
      <c r="M83" s="3" t="s">
        <v>144</v>
      </c>
      <c r="N83" s="3" t="s">
        <v>144</v>
      </c>
    </row>
    <row r="84" spans="1:14" x14ac:dyDescent="0.35">
      <c r="A84" t="s">
        <v>18</v>
      </c>
      <c r="B84" t="s">
        <v>101</v>
      </c>
      <c r="C84" s="3" t="s">
        <v>104</v>
      </c>
      <c r="D84" s="3">
        <v>619</v>
      </c>
      <c r="E84" s="8">
        <f t="shared" si="1"/>
        <v>6381</v>
      </c>
      <c r="F84" s="3" t="s">
        <v>142</v>
      </c>
      <c r="G84" s="3">
        <v>63</v>
      </c>
      <c r="H84" s="3" t="s">
        <v>175</v>
      </c>
      <c r="I84" s="3">
        <v>0</v>
      </c>
      <c r="J84" s="3">
        <v>219062482434</v>
      </c>
      <c r="K84" s="3" t="s">
        <v>239</v>
      </c>
      <c r="L84" s="3" t="s">
        <v>144</v>
      </c>
      <c r="M84" s="3" t="s">
        <v>144</v>
      </c>
      <c r="N84" s="3" t="s">
        <v>144</v>
      </c>
    </row>
    <row r="85" spans="1:14" x14ac:dyDescent="0.35">
      <c r="A85" t="s">
        <v>18</v>
      </c>
      <c r="B85" t="s">
        <v>102</v>
      </c>
      <c r="C85" s="3" t="s">
        <v>104</v>
      </c>
      <c r="D85" s="3">
        <v>2716</v>
      </c>
      <c r="E85" s="8">
        <f t="shared" si="1"/>
        <v>4284</v>
      </c>
      <c r="F85" s="3" t="s">
        <v>143</v>
      </c>
      <c r="G85" s="3">
        <v>0</v>
      </c>
      <c r="H85" s="3" t="s">
        <v>114</v>
      </c>
      <c r="I85" s="3">
        <v>10</v>
      </c>
      <c r="J85" s="3">
        <v>17191106</v>
      </c>
      <c r="K85" s="3" t="s">
        <v>240</v>
      </c>
      <c r="L85" s="3" t="s">
        <v>144</v>
      </c>
      <c r="M85" s="3" t="s">
        <v>144</v>
      </c>
      <c r="N85" s="3" t="s">
        <v>144</v>
      </c>
    </row>
    <row r="86" spans="1:14" x14ac:dyDescent="0.35">
      <c r="A86" t="s">
        <v>18</v>
      </c>
      <c r="B86" t="s">
        <v>103</v>
      </c>
      <c r="C86" s="3" t="s">
        <v>104</v>
      </c>
      <c r="D86" s="3">
        <v>2716</v>
      </c>
      <c r="E86" s="8">
        <f t="shared" si="1"/>
        <v>4284</v>
      </c>
      <c r="F86" s="3" t="s">
        <v>143</v>
      </c>
      <c r="G86" s="3">
        <v>0</v>
      </c>
      <c r="H86" s="3" t="s">
        <v>114</v>
      </c>
      <c r="I86" s="3">
        <v>64</v>
      </c>
      <c r="J86" s="3">
        <v>1456427251</v>
      </c>
      <c r="K86" s="3" t="s">
        <v>241</v>
      </c>
      <c r="L86" s="3" t="s">
        <v>144</v>
      </c>
      <c r="M86" s="3" t="s">
        <v>144</v>
      </c>
      <c r="N86" s="3" t="s">
        <v>144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Features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Silvana</dc:creator>
  <cp:lastModifiedBy>Silvana Contreras</cp:lastModifiedBy>
  <dcterms:created xsi:type="dcterms:W3CDTF">2026-04-18T19:34:40Z</dcterms:created>
  <dcterms:modified xsi:type="dcterms:W3CDTF">2026-04-19T13:21:09Z</dcterms:modified>
</cp:coreProperties>
</file>